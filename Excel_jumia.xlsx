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8.xml" ContentType="application/vnd.openxmlformats-officedocument.spreadsheetml.pivotTable+xml"/>
  <Override PartName="/xl/drawings/drawing4.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9.xml" ContentType="application/vnd.openxmlformats-officedocument.spreadsheetml.pivotTable+xml"/>
  <Override PartName="/xl/drawings/drawing5.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6.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7.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8.xml" ContentType="application/vnd.openxmlformats-officedocument.drawing+xml"/>
  <Override PartName="/xl/slicers/slicer3.xml" ContentType="application/vnd.ms-excel.slicer+xml"/>
  <Override PartName="/xl/pivotTables/pivotTable12.xml" ContentType="application/vnd.openxmlformats-officedocument.spreadsheetml.pivotTable+xml"/>
  <Override PartName="/xl/pivotTables/pivotTable13.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202300"/>
  <mc:AlternateContent xmlns:mc="http://schemas.openxmlformats.org/markup-compatibility/2006">
    <mc:Choice Requires="x15">
      <x15ac:absPath xmlns:x15ac="http://schemas.microsoft.com/office/spreadsheetml/2010/11/ac" url="D:\Data science and analytics class\Week 2 - Excel\Assignment done\"/>
    </mc:Choice>
  </mc:AlternateContent>
  <xr:revisionPtr revIDLastSave="0" documentId="13_ncr:1_{2E9B7949-F76C-4789-AF02-E62D254E5E73}" xr6:coauthVersionLast="47" xr6:coauthVersionMax="47" xr10:uidLastSave="{00000000-0000-0000-0000-000000000000}"/>
  <bookViews>
    <workbookView xWindow="-120" yWindow="-120" windowWidth="29040" windowHeight="15720" firstSheet="6" activeTab="7" xr2:uid="{5B154646-B0CF-49F9-A85A-B2EFB992D34C}"/>
  </bookViews>
  <sheets>
    <sheet name="Original" sheetId="4" r:id="rId1"/>
    <sheet name="Missing values" sheetId="5" r:id="rId2"/>
    <sheet name="Duplicates" sheetId="3" r:id="rId3"/>
    <sheet name="Excel_jumia- class" sheetId="1" r:id="rId4"/>
    <sheet name="3c. Prod&amp;Rat" sheetId="19" r:id="rId5"/>
    <sheet name="3d. DiscCat&amp;Rat&amp;Rev" sheetId="20" r:id="rId6"/>
    <sheet name="Dashboard Pivots" sheetId="21" r:id="rId7"/>
    <sheet name="Dashboard" sheetId="22" r:id="rId8"/>
    <sheet name="Clean-Enrich" sheetId="2" r:id="rId9"/>
    <sheet name="3b. Prod&amp;Rev" sheetId="18" r:id="rId10"/>
    <sheet name="3a. Prod&amp;Disc" sheetId="17" r:id="rId11"/>
    <sheet name="2b&amp; d. Rat&amp;Rev" sheetId="16" r:id="rId12"/>
    <sheet name="2a&amp;c. Disc&amp;rev" sheetId="15" r:id="rId13"/>
    <sheet name="1a. Av-cp,op,dp,ra" sheetId="11" r:id="rId14"/>
    <sheet name="1b. Prct-Ex,Ch" sheetId="12" r:id="rId15"/>
    <sheet name="1c. Av-DC,ra,dp" sheetId="13" r:id="rId16"/>
    <sheet name="1d. Count-RC,prct" sheetId="14" r:id="rId17"/>
  </sheets>
  <definedNames>
    <definedName name="_xlnm._FilterDatabase" localSheetId="0" hidden="1">Original!$A$1:$F$116</definedName>
    <definedName name="Slicer_Current_Price1">#N/A</definedName>
    <definedName name="Slicer_Discount">#N/A</definedName>
    <definedName name="Slicer_Discount_Category">#N/A</definedName>
    <definedName name="Slicer_Rating_Category">#N/A</definedName>
  </definedNames>
  <calcPr calcId="191029"/>
  <pivotCaches>
    <pivotCache cacheId="0" r:id="rId18"/>
  </pivotCaches>
  <extLst>
    <ext xmlns:x14="http://schemas.microsoft.com/office/spreadsheetml/2009/9/main" uri="{BBE1A952-AA13-448e-AADC-164F8A28A991}">
      <x14:slicerCaches>
        <x14:slicerCache r:id="rId19"/>
        <x14:slicerCache r:id="rId20"/>
        <x14:slicerCache r:id="rId21"/>
        <x14:slicerCache r:id="rId2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41" i="1" l="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3" i="2"/>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O2" i="2" a="1"/>
  <c r="O2" i="2" s="1"/>
  <c r="N2" i="2"/>
  <c r="I2" i="2" a="1"/>
  <c r="I2" i="2" s="1"/>
  <c r="H2" i="2"/>
  <c r="F2" i="2"/>
  <c r="K2" i="2"/>
  <c r="M2" i="1"/>
  <c r="N2" i="1" s="1"/>
  <c r="G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F94" i="1" s="1"/>
  <c r="C95" i="1"/>
  <c r="C96" i="1"/>
  <c r="C97" i="1"/>
  <c r="C98" i="1"/>
  <c r="C99" i="1"/>
  <c r="C100" i="1"/>
  <c r="C101" i="1"/>
  <c r="C102" i="1"/>
  <c r="C103" i="1"/>
  <c r="C104" i="1"/>
  <c r="C105" i="1"/>
  <c r="C106" i="1"/>
  <c r="C107" i="1"/>
  <c r="C108" i="1"/>
  <c r="C109" i="1"/>
  <c r="C110" i="1"/>
  <c r="C111" i="1"/>
  <c r="C112" i="1"/>
  <c r="C113" i="1"/>
  <c r="C113" i="2"/>
  <c r="C112" i="2"/>
  <c r="C111" i="2"/>
  <c r="C110" i="2"/>
  <c r="C109" i="2"/>
  <c r="C108" i="2"/>
  <c r="C107" i="2"/>
  <c r="C106" i="2"/>
  <c r="C105" i="2"/>
  <c r="C104" i="2"/>
  <c r="C103" i="2"/>
  <c r="C102" i="2"/>
  <c r="C101" i="2"/>
  <c r="C100" i="2"/>
  <c r="C99" i="2"/>
  <c r="C98" i="2"/>
  <c r="C97" i="2"/>
  <c r="C96" i="2"/>
  <c r="C95" i="2"/>
  <c r="C94" i="2"/>
  <c r="C93" i="2"/>
  <c r="C92" i="2"/>
  <c r="C91" i="2"/>
  <c r="C90" i="2"/>
  <c r="C89" i="2"/>
  <c r="C88" i="2"/>
  <c r="C87" i="2"/>
  <c r="C86" i="2"/>
  <c r="C85" i="2"/>
  <c r="C84" i="2"/>
  <c r="C83" i="2"/>
  <c r="C82" i="2"/>
  <c r="C81" i="2"/>
  <c r="C80" i="2"/>
  <c r="C79" i="2"/>
  <c r="C78" i="2"/>
  <c r="C77" i="2"/>
  <c r="C76" i="2"/>
  <c r="C75" i="2"/>
  <c r="C74" i="2"/>
  <c r="C73" i="2"/>
  <c r="C72" i="2"/>
  <c r="C71" i="2"/>
  <c r="C70" i="2"/>
  <c r="C69" i="2"/>
  <c r="C68" i="2"/>
  <c r="C67" i="2"/>
  <c r="C66" i="2"/>
  <c r="C65" i="2"/>
  <c r="C64" i="2"/>
  <c r="C63" i="2"/>
  <c r="C62" i="2"/>
  <c r="C61" i="2"/>
  <c r="C60" i="2"/>
  <c r="C59" i="2"/>
  <c r="C58" i="2"/>
  <c r="C57" i="2"/>
  <c r="C56" i="2"/>
  <c r="C55" i="2"/>
  <c r="C54" i="2"/>
  <c r="C53" i="2"/>
  <c r="C52" i="2"/>
  <c r="C51" i="2"/>
  <c r="C50" i="2"/>
  <c r="C49" i="2"/>
  <c r="C48" i="2"/>
  <c r="C47" i="2"/>
  <c r="C46" i="2"/>
  <c r="C45" i="2"/>
  <c r="C44" i="2"/>
  <c r="C43" i="2"/>
  <c r="C42" i="2"/>
  <c r="C41" i="2"/>
  <c r="C40" i="2"/>
  <c r="C39" i="2"/>
  <c r="C38" i="2"/>
  <c r="C37" i="2"/>
  <c r="C36" i="2"/>
  <c r="C35" i="2"/>
  <c r="C34" i="2"/>
  <c r="C33" i="2"/>
  <c r="C32" i="2"/>
  <c r="C31" i="2"/>
  <c r="C30" i="2"/>
  <c r="C29" i="2"/>
  <c r="C28" i="2"/>
  <c r="C27" i="2"/>
  <c r="C26" i="2"/>
  <c r="C25" i="2"/>
  <c r="C24" i="2"/>
  <c r="C23" i="2"/>
  <c r="C22" i="2"/>
  <c r="C21" i="2"/>
  <c r="C20" i="2"/>
  <c r="C19" i="2"/>
  <c r="C18" i="2"/>
  <c r="C17" i="2"/>
  <c r="C16" i="2"/>
  <c r="C15" i="2"/>
  <c r="C14" i="2"/>
  <c r="C13" i="2"/>
  <c r="C12" i="2"/>
  <c r="C11" i="2"/>
  <c r="C10" i="2"/>
  <c r="C9" i="2"/>
  <c r="C8" i="2"/>
  <c r="C7" i="2"/>
  <c r="C6" i="2"/>
  <c r="C5" i="2"/>
  <c r="C4" i="2"/>
  <c r="C3" i="2"/>
  <c r="C2" i="2"/>
  <c r="M113" i="2"/>
  <c r="O113" i="2" s="1" a="1"/>
  <c r="O113" i="2" s="1"/>
  <c r="K113" i="2"/>
  <c r="E113" i="2"/>
  <c r="M112" i="2"/>
  <c r="O112" i="2" s="1" a="1"/>
  <c r="O112" i="2" s="1"/>
  <c r="K112" i="2"/>
  <c r="E112" i="2"/>
  <c r="M111" i="2"/>
  <c r="O111" i="2" s="1" a="1"/>
  <c r="O111" i="2" s="1"/>
  <c r="K111" i="2"/>
  <c r="E111" i="2"/>
  <c r="M110" i="2"/>
  <c r="O110" i="2" s="1" a="1"/>
  <c r="O110" i="2" s="1"/>
  <c r="K110" i="2"/>
  <c r="E110" i="2"/>
  <c r="M109" i="2"/>
  <c r="O109" i="2" s="1" a="1"/>
  <c r="O109" i="2" s="1"/>
  <c r="K109" i="2"/>
  <c r="E109" i="2"/>
  <c r="M108" i="2"/>
  <c r="O108" i="2" s="1" a="1"/>
  <c r="O108" i="2" s="1"/>
  <c r="K108" i="2"/>
  <c r="E108" i="2"/>
  <c r="G108" i="2" s="1"/>
  <c r="I108" i="2" s="1" a="1"/>
  <c r="I108" i="2" s="1"/>
  <c r="M107" i="2"/>
  <c r="O107" i="2" s="1" a="1"/>
  <c r="O107" i="2" s="1"/>
  <c r="K107" i="2"/>
  <c r="E107" i="2"/>
  <c r="M106" i="2"/>
  <c r="O106" i="2" s="1" a="1"/>
  <c r="O106" i="2" s="1"/>
  <c r="K106" i="2"/>
  <c r="E106" i="2"/>
  <c r="M105" i="2"/>
  <c r="O105" i="2" s="1" a="1"/>
  <c r="O105" i="2" s="1"/>
  <c r="K105" i="2"/>
  <c r="E105" i="2"/>
  <c r="M104" i="2"/>
  <c r="O104" i="2" s="1" a="1"/>
  <c r="O104" i="2" s="1"/>
  <c r="K104" i="2"/>
  <c r="E104" i="2"/>
  <c r="G104" i="2" s="1"/>
  <c r="I104" i="2" s="1" a="1"/>
  <c r="I104" i="2" s="1"/>
  <c r="M103" i="2"/>
  <c r="O103" i="2" s="1" a="1"/>
  <c r="O103" i="2" s="1"/>
  <c r="K103" i="2"/>
  <c r="E103" i="2"/>
  <c r="M102" i="2"/>
  <c r="O102" i="2" s="1" a="1"/>
  <c r="O102" i="2" s="1"/>
  <c r="K102" i="2"/>
  <c r="E102" i="2"/>
  <c r="M101" i="2"/>
  <c r="O101" i="2" s="1" a="1"/>
  <c r="O101" i="2" s="1"/>
  <c r="K101" i="2"/>
  <c r="E101" i="2"/>
  <c r="M100" i="2"/>
  <c r="O100" i="2" s="1" a="1"/>
  <c r="O100" i="2" s="1"/>
  <c r="K100" i="2"/>
  <c r="E100" i="2"/>
  <c r="G100" i="2" s="1"/>
  <c r="I100" i="2" s="1" a="1"/>
  <c r="I100" i="2" s="1"/>
  <c r="M99" i="2"/>
  <c r="O99" i="2" s="1" a="1"/>
  <c r="O99" i="2" s="1"/>
  <c r="K99" i="2"/>
  <c r="E99" i="2"/>
  <c r="M98" i="2"/>
  <c r="O98" i="2" s="1" a="1"/>
  <c r="O98" i="2" s="1"/>
  <c r="K98" i="2"/>
  <c r="E98" i="2"/>
  <c r="M97" i="2"/>
  <c r="O97" i="2" s="1" a="1"/>
  <c r="O97" i="2" s="1"/>
  <c r="K97" i="2"/>
  <c r="E97" i="2"/>
  <c r="M96" i="2"/>
  <c r="O96" i="2" s="1" a="1"/>
  <c r="O96" i="2" s="1"/>
  <c r="K96" i="2"/>
  <c r="E96" i="2"/>
  <c r="M95" i="2"/>
  <c r="O95" i="2" s="1" a="1"/>
  <c r="O95" i="2" s="1"/>
  <c r="K95" i="2"/>
  <c r="E95" i="2"/>
  <c r="M94" i="2"/>
  <c r="O94" i="2" s="1" a="1"/>
  <c r="O94" i="2" s="1"/>
  <c r="K94" i="2"/>
  <c r="E94" i="2"/>
  <c r="M93" i="2"/>
  <c r="O93" i="2" s="1" a="1"/>
  <c r="O93" i="2" s="1"/>
  <c r="K93" i="2"/>
  <c r="E93" i="2"/>
  <c r="G93" i="2" s="1"/>
  <c r="M92" i="2"/>
  <c r="O92" i="2" s="1" a="1"/>
  <c r="O92" i="2" s="1"/>
  <c r="K92" i="2"/>
  <c r="E92" i="2"/>
  <c r="M91" i="2"/>
  <c r="O91" i="2" s="1" a="1"/>
  <c r="O91" i="2" s="1"/>
  <c r="K91" i="2"/>
  <c r="E91" i="2"/>
  <c r="M90" i="2"/>
  <c r="O90" i="2" s="1" a="1"/>
  <c r="O90" i="2" s="1"/>
  <c r="K90" i="2"/>
  <c r="E90" i="2"/>
  <c r="M89" i="2"/>
  <c r="O89" i="2" s="1" a="1"/>
  <c r="O89" i="2" s="1"/>
  <c r="K89" i="2"/>
  <c r="E89" i="2"/>
  <c r="M88" i="2"/>
  <c r="O88" i="2" s="1" a="1"/>
  <c r="O88" i="2" s="1"/>
  <c r="K88" i="2"/>
  <c r="E88" i="2"/>
  <c r="M87" i="2"/>
  <c r="O87" i="2" s="1" a="1"/>
  <c r="O87" i="2" s="1"/>
  <c r="K87" i="2"/>
  <c r="E87" i="2"/>
  <c r="M86" i="2"/>
  <c r="O86" i="2" s="1" a="1"/>
  <c r="O86" i="2" s="1"/>
  <c r="K86" i="2"/>
  <c r="E86" i="2"/>
  <c r="M85" i="2"/>
  <c r="O85" i="2" s="1" a="1"/>
  <c r="O85" i="2" s="1"/>
  <c r="K85" i="2"/>
  <c r="E85" i="2"/>
  <c r="M84" i="2"/>
  <c r="O84" i="2" s="1" a="1"/>
  <c r="O84" i="2" s="1"/>
  <c r="K84" i="2"/>
  <c r="E84" i="2"/>
  <c r="M83" i="2"/>
  <c r="O83" i="2" s="1" a="1"/>
  <c r="O83" i="2" s="1"/>
  <c r="K83" i="2"/>
  <c r="E83" i="2"/>
  <c r="M82" i="2"/>
  <c r="O82" i="2" s="1" a="1"/>
  <c r="O82" i="2" s="1"/>
  <c r="K82" i="2"/>
  <c r="E82" i="2"/>
  <c r="M81" i="2"/>
  <c r="O81" i="2" s="1" a="1"/>
  <c r="O81" i="2" s="1"/>
  <c r="K81" i="2"/>
  <c r="E81" i="2"/>
  <c r="M80" i="2"/>
  <c r="O80" i="2" s="1" a="1"/>
  <c r="O80" i="2" s="1"/>
  <c r="K80" i="2"/>
  <c r="E80" i="2"/>
  <c r="M79" i="2"/>
  <c r="O79" i="2" s="1" a="1"/>
  <c r="O79" i="2" s="1"/>
  <c r="K79" i="2"/>
  <c r="E79" i="2"/>
  <c r="M78" i="2"/>
  <c r="O78" i="2" s="1" a="1"/>
  <c r="O78" i="2" s="1"/>
  <c r="K78" i="2"/>
  <c r="E78" i="2"/>
  <c r="M77" i="2"/>
  <c r="O77" i="2" s="1" a="1"/>
  <c r="O77" i="2" s="1"/>
  <c r="K77" i="2"/>
  <c r="E77" i="2"/>
  <c r="M76" i="2"/>
  <c r="O76" i="2" s="1" a="1"/>
  <c r="O76" i="2" s="1"/>
  <c r="K76" i="2"/>
  <c r="E76" i="2"/>
  <c r="M75" i="2"/>
  <c r="O75" i="2" s="1" a="1"/>
  <c r="O75" i="2" s="1"/>
  <c r="K75" i="2"/>
  <c r="E75" i="2"/>
  <c r="M74" i="2"/>
  <c r="O74" i="2" s="1" a="1"/>
  <c r="O74" i="2" s="1"/>
  <c r="K74" i="2"/>
  <c r="E74" i="2"/>
  <c r="M73" i="2"/>
  <c r="O73" i="2" s="1" a="1"/>
  <c r="O73" i="2" s="1"/>
  <c r="K73" i="2"/>
  <c r="E73" i="2"/>
  <c r="M72" i="2"/>
  <c r="O72" i="2" s="1" a="1"/>
  <c r="O72" i="2" s="1"/>
  <c r="K72" i="2"/>
  <c r="E72" i="2"/>
  <c r="M71" i="2"/>
  <c r="O71" i="2" s="1" a="1"/>
  <c r="O71" i="2" s="1"/>
  <c r="K71" i="2"/>
  <c r="E71" i="2"/>
  <c r="M70" i="2"/>
  <c r="O70" i="2" s="1" a="1"/>
  <c r="O70" i="2" s="1"/>
  <c r="K70" i="2"/>
  <c r="E70" i="2"/>
  <c r="M69" i="2"/>
  <c r="O69" i="2" s="1" a="1"/>
  <c r="O69" i="2" s="1"/>
  <c r="K69" i="2"/>
  <c r="E69" i="2"/>
  <c r="M68" i="2"/>
  <c r="O68" i="2" s="1" a="1"/>
  <c r="O68" i="2" s="1"/>
  <c r="K68" i="2"/>
  <c r="E68" i="2"/>
  <c r="M67" i="2"/>
  <c r="O67" i="2" s="1" a="1"/>
  <c r="O67" i="2" s="1"/>
  <c r="K67" i="2"/>
  <c r="E67" i="2"/>
  <c r="M66" i="2"/>
  <c r="O66" i="2" s="1" a="1"/>
  <c r="O66" i="2" s="1"/>
  <c r="K66" i="2"/>
  <c r="E66" i="2"/>
  <c r="M65" i="2"/>
  <c r="O65" i="2" s="1" a="1"/>
  <c r="O65" i="2" s="1"/>
  <c r="K65" i="2"/>
  <c r="E65" i="2"/>
  <c r="M64" i="2"/>
  <c r="O64" i="2" s="1" a="1"/>
  <c r="O64" i="2" s="1"/>
  <c r="K64" i="2"/>
  <c r="E64" i="2"/>
  <c r="M63" i="2"/>
  <c r="O63" i="2" s="1" a="1"/>
  <c r="O63" i="2" s="1"/>
  <c r="K63" i="2"/>
  <c r="E63" i="2"/>
  <c r="M62" i="2"/>
  <c r="O62" i="2" s="1" a="1"/>
  <c r="O62" i="2" s="1"/>
  <c r="K62" i="2"/>
  <c r="E62" i="2"/>
  <c r="F62" i="2" s="1"/>
  <c r="M61" i="2"/>
  <c r="O61" i="2" s="1" a="1"/>
  <c r="O61" i="2" s="1"/>
  <c r="K61" i="2"/>
  <c r="E61" i="2"/>
  <c r="M60" i="2"/>
  <c r="O60" i="2" s="1" a="1"/>
  <c r="O60" i="2" s="1"/>
  <c r="K60" i="2"/>
  <c r="E60" i="2"/>
  <c r="M59" i="2"/>
  <c r="O59" i="2" s="1" a="1"/>
  <c r="O59" i="2" s="1"/>
  <c r="K59" i="2"/>
  <c r="E59" i="2"/>
  <c r="M58" i="2"/>
  <c r="O58" i="2" s="1" a="1"/>
  <c r="O58" i="2" s="1"/>
  <c r="K58" i="2"/>
  <c r="E58" i="2"/>
  <c r="G58" i="2" s="1"/>
  <c r="I58" i="2" s="1" a="1"/>
  <c r="I58" i="2" s="1"/>
  <c r="M57" i="2"/>
  <c r="O57" i="2" s="1" a="1"/>
  <c r="O57" i="2" s="1"/>
  <c r="K57" i="2"/>
  <c r="E57" i="2"/>
  <c r="M56" i="2"/>
  <c r="O56" i="2" s="1" a="1"/>
  <c r="O56" i="2" s="1"/>
  <c r="K56" i="2"/>
  <c r="E56" i="2"/>
  <c r="M55" i="2"/>
  <c r="O55" i="2" s="1" a="1"/>
  <c r="O55" i="2" s="1"/>
  <c r="K55" i="2"/>
  <c r="E55" i="2"/>
  <c r="M54" i="2"/>
  <c r="O54" i="2" s="1" a="1"/>
  <c r="O54" i="2" s="1"/>
  <c r="K54" i="2"/>
  <c r="E54" i="2"/>
  <c r="F54" i="2" s="1"/>
  <c r="M53" i="2"/>
  <c r="O53" i="2" s="1" a="1"/>
  <c r="O53" i="2" s="1"/>
  <c r="K53" i="2"/>
  <c r="E53" i="2"/>
  <c r="M52" i="2"/>
  <c r="O52" i="2" s="1" a="1"/>
  <c r="O52" i="2" s="1"/>
  <c r="K52" i="2"/>
  <c r="E52" i="2"/>
  <c r="M51" i="2"/>
  <c r="O51" i="2" s="1" a="1"/>
  <c r="O51" i="2" s="1"/>
  <c r="K51" i="2"/>
  <c r="E51" i="2"/>
  <c r="M50" i="2"/>
  <c r="O50" i="2" s="1" a="1"/>
  <c r="O50" i="2" s="1"/>
  <c r="K50" i="2"/>
  <c r="E50" i="2"/>
  <c r="F50" i="2" s="1"/>
  <c r="M49" i="2"/>
  <c r="O49" i="2" s="1" a="1"/>
  <c r="O49" i="2" s="1"/>
  <c r="K49" i="2"/>
  <c r="E49" i="2"/>
  <c r="M48" i="2"/>
  <c r="O48" i="2" s="1" a="1"/>
  <c r="O48" i="2" s="1"/>
  <c r="K48" i="2"/>
  <c r="E48" i="2"/>
  <c r="M47" i="2"/>
  <c r="O47" i="2" s="1" a="1"/>
  <c r="O47" i="2" s="1"/>
  <c r="K47" i="2"/>
  <c r="E47" i="2"/>
  <c r="M46" i="2"/>
  <c r="O46" i="2" s="1" a="1"/>
  <c r="O46" i="2" s="1"/>
  <c r="K46" i="2"/>
  <c r="E46" i="2"/>
  <c r="M45" i="2"/>
  <c r="O45" i="2" s="1" a="1"/>
  <c r="O45" i="2" s="1"/>
  <c r="K45" i="2"/>
  <c r="E45" i="2"/>
  <c r="M44" i="2"/>
  <c r="O44" i="2" s="1" a="1"/>
  <c r="O44" i="2" s="1"/>
  <c r="K44" i="2"/>
  <c r="E44" i="2"/>
  <c r="M43" i="2"/>
  <c r="O43" i="2" s="1" a="1"/>
  <c r="O43" i="2" s="1"/>
  <c r="K43" i="2"/>
  <c r="E43" i="2"/>
  <c r="M42" i="2"/>
  <c r="O42" i="2" s="1" a="1"/>
  <c r="O42" i="2" s="1"/>
  <c r="K42" i="2"/>
  <c r="E42" i="2"/>
  <c r="M41" i="2"/>
  <c r="O41" i="2" s="1" a="1"/>
  <c r="O41" i="2" s="1"/>
  <c r="K41" i="2"/>
  <c r="E41" i="2"/>
  <c r="M40" i="2"/>
  <c r="O40" i="2" s="1" a="1"/>
  <c r="O40" i="2" s="1"/>
  <c r="K40" i="2"/>
  <c r="E40" i="2"/>
  <c r="M39" i="2"/>
  <c r="O39" i="2" s="1" a="1"/>
  <c r="O39" i="2" s="1"/>
  <c r="K39" i="2"/>
  <c r="E39" i="2"/>
  <c r="M38" i="2"/>
  <c r="O38" i="2" s="1" a="1"/>
  <c r="O38" i="2" s="1"/>
  <c r="K38" i="2"/>
  <c r="E38" i="2"/>
  <c r="M37" i="2"/>
  <c r="O37" i="2" s="1" a="1"/>
  <c r="O37" i="2" s="1"/>
  <c r="K37" i="2"/>
  <c r="E37" i="2"/>
  <c r="M36" i="2"/>
  <c r="O36" i="2" s="1" a="1"/>
  <c r="O36" i="2" s="1"/>
  <c r="K36" i="2"/>
  <c r="E36" i="2"/>
  <c r="M35" i="2"/>
  <c r="O35" i="2" s="1" a="1"/>
  <c r="O35" i="2" s="1"/>
  <c r="K35" i="2"/>
  <c r="E35" i="2"/>
  <c r="M34" i="2"/>
  <c r="O34" i="2" s="1" a="1"/>
  <c r="O34" i="2" s="1"/>
  <c r="K34" i="2"/>
  <c r="E34" i="2"/>
  <c r="M33" i="2"/>
  <c r="O33" i="2" s="1" a="1"/>
  <c r="O33" i="2" s="1"/>
  <c r="K33" i="2"/>
  <c r="E33" i="2"/>
  <c r="M32" i="2"/>
  <c r="K32" i="2"/>
  <c r="E32" i="2"/>
  <c r="M31" i="2"/>
  <c r="O31" i="2" s="1" a="1"/>
  <c r="O31" i="2" s="1"/>
  <c r="K31" i="2"/>
  <c r="E31" i="2"/>
  <c r="M30" i="2"/>
  <c r="O30" i="2" s="1" a="1"/>
  <c r="O30" i="2" s="1"/>
  <c r="K30" i="2"/>
  <c r="E30" i="2"/>
  <c r="M29" i="2"/>
  <c r="O29" i="2" s="1" a="1"/>
  <c r="O29" i="2" s="1"/>
  <c r="K29" i="2"/>
  <c r="E29" i="2"/>
  <c r="M28" i="2"/>
  <c r="K28" i="2"/>
  <c r="E28" i="2"/>
  <c r="M27" i="2"/>
  <c r="O27" i="2" s="1" a="1"/>
  <c r="O27" i="2" s="1"/>
  <c r="K27" i="2"/>
  <c r="E27" i="2"/>
  <c r="M26" i="2"/>
  <c r="O26" i="2" s="1" a="1"/>
  <c r="O26" i="2" s="1"/>
  <c r="K26" i="2"/>
  <c r="E26" i="2"/>
  <c r="M25" i="2"/>
  <c r="O25" i="2" s="1" a="1"/>
  <c r="O25" i="2" s="1"/>
  <c r="K25" i="2"/>
  <c r="E25" i="2"/>
  <c r="M24" i="2"/>
  <c r="K24" i="2"/>
  <c r="E24" i="2"/>
  <c r="F24" i="2" s="1"/>
  <c r="M23" i="2"/>
  <c r="O23" i="2" s="1" a="1"/>
  <c r="O23" i="2" s="1"/>
  <c r="K23" i="2"/>
  <c r="E23" i="2"/>
  <c r="M22" i="2"/>
  <c r="O22" i="2" s="1" a="1"/>
  <c r="O22" i="2" s="1"/>
  <c r="K22" i="2"/>
  <c r="E22" i="2"/>
  <c r="M21" i="2"/>
  <c r="O21" i="2" s="1" a="1"/>
  <c r="O21" i="2" s="1"/>
  <c r="K21" i="2"/>
  <c r="E21" i="2"/>
  <c r="M20" i="2"/>
  <c r="K20" i="2"/>
  <c r="E20" i="2"/>
  <c r="F20" i="2" s="1"/>
  <c r="M19" i="2"/>
  <c r="O19" i="2" s="1" a="1"/>
  <c r="O19" i="2" s="1"/>
  <c r="K19" i="2"/>
  <c r="E19" i="2"/>
  <c r="M18" i="2"/>
  <c r="O18" i="2" s="1" a="1"/>
  <c r="O18" i="2" s="1"/>
  <c r="K18" i="2"/>
  <c r="E18" i="2"/>
  <c r="M17" i="2"/>
  <c r="K17" i="2"/>
  <c r="E17" i="2"/>
  <c r="M16" i="2"/>
  <c r="O16" i="2" s="1" a="1"/>
  <c r="O16" i="2" s="1"/>
  <c r="K16" i="2"/>
  <c r="E16" i="2"/>
  <c r="F16" i="2" s="1"/>
  <c r="M15" i="2"/>
  <c r="O15" i="2" s="1" a="1"/>
  <c r="O15" i="2" s="1"/>
  <c r="K15" i="2"/>
  <c r="E15" i="2"/>
  <c r="M14" i="2"/>
  <c r="O14" i="2" s="1" a="1"/>
  <c r="O14" i="2" s="1"/>
  <c r="K14" i="2"/>
  <c r="E14" i="2"/>
  <c r="M13" i="2"/>
  <c r="K13" i="2"/>
  <c r="E13" i="2"/>
  <c r="M12" i="2"/>
  <c r="O12" i="2" s="1" a="1"/>
  <c r="O12" i="2" s="1"/>
  <c r="K12" i="2"/>
  <c r="E12" i="2"/>
  <c r="M11" i="2"/>
  <c r="O11" i="2" s="1" a="1"/>
  <c r="O11" i="2" s="1"/>
  <c r="K11" i="2"/>
  <c r="E11" i="2"/>
  <c r="M10" i="2"/>
  <c r="O10" i="2" s="1" a="1"/>
  <c r="O10" i="2" s="1"/>
  <c r="K10" i="2"/>
  <c r="E10" i="2"/>
  <c r="M9" i="2"/>
  <c r="K9" i="2"/>
  <c r="E9" i="2"/>
  <c r="M8" i="2"/>
  <c r="O8" i="2" s="1" a="1"/>
  <c r="O8" i="2" s="1"/>
  <c r="K8" i="2"/>
  <c r="E8" i="2"/>
  <c r="M7" i="2"/>
  <c r="O7" i="2" s="1" a="1"/>
  <c r="O7" i="2" s="1"/>
  <c r="K7" i="2"/>
  <c r="E7" i="2"/>
  <c r="M6" i="2"/>
  <c r="O6" i="2" s="1" a="1"/>
  <c r="O6" i="2" s="1"/>
  <c r="K6" i="2"/>
  <c r="E6" i="2"/>
  <c r="M5" i="2"/>
  <c r="K5" i="2"/>
  <c r="E5" i="2"/>
  <c r="M4" i="2"/>
  <c r="O4" i="2" s="1" a="1"/>
  <c r="O4" i="2" s="1"/>
  <c r="K4" i="2"/>
  <c r="E4" i="2"/>
  <c r="M3" i="2"/>
  <c r="O3" i="2" s="1" a="1"/>
  <c r="O3" i="2" s="1"/>
  <c r="K3" i="2"/>
  <c r="E3" i="2"/>
  <c r="M2" i="2"/>
  <c r="E2" i="2"/>
  <c r="N18"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2" i="1"/>
  <c r="M3" i="1"/>
  <c r="M4" i="1"/>
  <c r="N4" i="1" s="1"/>
  <c r="M5" i="1"/>
  <c r="O5" i="1" s="1" a="1"/>
  <c r="O5" i="1" s="1"/>
  <c r="M6" i="1"/>
  <c r="O6" i="1" s="1" a="1"/>
  <c r="O6" i="1" s="1"/>
  <c r="M7" i="1"/>
  <c r="M8" i="1"/>
  <c r="O8" i="1" s="1" a="1"/>
  <c r="O8" i="1" s="1"/>
  <c r="M9" i="1"/>
  <c r="N9" i="1" s="1"/>
  <c r="M10" i="1"/>
  <c r="O10" i="1" s="1" a="1"/>
  <c r="O10" i="1" s="1"/>
  <c r="M11" i="1"/>
  <c r="M12" i="1"/>
  <c r="N12" i="1" s="1"/>
  <c r="M13" i="1"/>
  <c r="O13" i="1" s="1" a="1"/>
  <c r="O13" i="1" s="1"/>
  <c r="M14" i="1"/>
  <c r="O14" i="1" s="1" a="1"/>
  <c r="O14" i="1" s="1"/>
  <c r="M15" i="1"/>
  <c r="M16" i="1"/>
  <c r="O16" i="1" s="1" a="1"/>
  <c r="O16" i="1" s="1"/>
  <c r="M17" i="1"/>
  <c r="N17" i="1" s="1"/>
  <c r="M18" i="1"/>
  <c r="O18" i="1" s="1" a="1"/>
  <c r="O18" i="1" s="1"/>
  <c r="M19" i="1"/>
  <c r="M20" i="1"/>
  <c r="N20" i="1" s="1"/>
  <c r="M21" i="1"/>
  <c r="O21" i="1" s="1" a="1"/>
  <c r="O21" i="1" s="1"/>
  <c r="M22" i="1"/>
  <c r="O22" i="1" s="1" a="1"/>
  <c r="O22" i="1" s="1"/>
  <c r="M23" i="1"/>
  <c r="M24" i="1"/>
  <c r="O24" i="1" s="1" a="1"/>
  <c r="O24" i="1" s="1"/>
  <c r="M25" i="1"/>
  <c r="N25" i="1" s="1"/>
  <c r="M26" i="1"/>
  <c r="O26" i="1" s="1" a="1"/>
  <c r="O26" i="1" s="1"/>
  <c r="M27" i="1"/>
  <c r="M28" i="1"/>
  <c r="N28" i="1" s="1"/>
  <c r="M29" i="1"/>
  <c r="O29" i="1" s="1" a="1"/>
  <c r="O29" i="1" s="1"/>
  <c r="M30" i="1"/>
  <c r="O30" i="1" s="1" a="1"/>
  <c r="O30" i="1" s="1"/>
  <c r="M31" i="1"/>
  <c r="M32" i="1"/>
  <c r="O32" i="1" s="1" a="1"/>
  <c r="O32" i="1" s="1"/>
  <c r="M33" i="1"/>
  <c r="N33" i="1" s="1"/>
  <c r="M34" i="1"/>
  <c r="O34" i="1" s="1" a="1"/>
  <c r="O34" i="1" s="1"/>
  <c r="M35" i="1"/>
  <c r="M36" i="1"/>
  <c r="N36" i="1" s="1"/>
  <c r="M37" i="1"/>
  <c r="O37" i="1" s="1" a="1"/>
  <c r="O37" i="1" s="1"/>
  <c r="M38" i="1"/>
  <c r="O38" i="1" s="1" a="1"/>
  <c r="O38" i="1" s="1"/>
  <c r="M39" i="1"/>
  <c r="M40" i="1"/>
  <c r="O40" i="1" s="1" a="1"/>
  <c r="O40" i="1" s="1"/>
  <c r="M41" i="1"/>
  <c r="O41" i="1" s="1" a="1"/>
  <c r="O41" i="1" s="1"/>
  <c r="M42" i="1"/>
  <c r="O42" i="1" s="1" a="1"/>
  <c r="O42" i="1" s="1"/>
  <c r="M43" i="1"/>
  <c r="O43" i="1" s="1" a="1"/>
  <c r="O43" i="1" s="1"/>
  <c r="M44" i="1"/>
  <c r="O44" i="1" s="1" a="1"/>
  <c r="O44" i="1" s="1"/>
  <c r="M45" i="1"/>
  <c r="O45" i="1" s="1" a="1"/>
  <c r="O45" i="1" s="1"/>
  <c r="M46" i="1"/>
  <c r="O46" i="1" s="1" a="1"/>
  <c r="O46" i="1" s="1"/>
  <c r="M47" i="1"/>
  <c r="O47" i="1" s="1" a="1"/>
  <c r="O47" i="1" s="1"/>
  <c r="M48" i="1"/>
  <c r="O48" i="1" s="1" a="1"/>
  <c r="O48" i="1" s="1"/>
  <c r="M49" i="1"/>
  <c r="O49" i="1" s="1" a="1"/>
  <c r="O49" i="1" s="1"/>
  <c r="M50" i="1"/>
  <c r="O50" i="1" s="1" a="1"/>
  <c r="O50" i="1" s="1"/>
  <c r="M51" i="1"/>
  <c r="O51" i="1" s="1" a="1"/>
  <c r="O51" i="1" s="1"/>
  <c r="M52" i="1"/>
  <c r="O52" i="1" s="1" a="1"/>
  <c r="O52" i="1" s="1"/>
  <c r="M53" i="1"/>
  <c r="O53" i="1" s="1" a="1"/>
  <c r="O53" i="1" s="1"/>
  <c r="M54" i="1"/>
  <c r="O54" i="1" s="1" a="1"/>
  <c r="O54" i="1" s="1"/>
  <c r="M55" i="1"/>
  <c r="O55" i="1" s="1" a="1"/>
  <c r="O55" i="1" s="1"/>
  <c r="M56" i="1"/>
  <c r="O56" i="1" s="1" a="1"/>
  <c r="O56" i="1" s="1"/>
  <c r="M57" i="1"/>
  <c r="O57" i="1" s="1" a="1"/>
  <c r="O57" i="1" s="1"/>
  <c r="M58" i="1"/>
  <c r="O58" i="1" s="1" a="1"/>
  <c r="O58" i="1" s="1"/>
  <c r="M59" i="1"/>
  <c r="O59" i="1" s="1" a="1"/>
  <c r="O59" i="1" s="1"/>
  <c r="M60" i="1"/>
  <c r="O60" i="1" s="1" a="1"/>
  <c r="O60" i="1" s="1"/>
  <c r="M61" i="1"/>
  <c r="O61" i="1" s="1" a="1"/>
  <c r="O61" i="1" s="1"/>
  <c r="M62" i="1"/>
  <c r="O62" i="1" s="1" a="1"/>
  <c r="O62" i="1" s="1"/>
  <c r="M63" i="1"/>
  <c r="O63" i="1" s="1" a="1"/>
  <c r="O63" i="1" s="1"/>
  <c r="M64" i="1"/>
  <c r="O64" i="1" s="1" a="1"/>
  <c r="O64" i="1" s="1"/>
  <c r="M65" i="1"/>
  <c r="O65" i="1" s="1" a="1"/>
  <c r="O65" i="1" s="1"/>
  <c r="M66" i="1"/>
  <c r="O66" i="1" s="1" a="1"/>
  <c r="O66" i="1" s="1"/>
  <c r="M67" i="1"/>
  <c r="O67" i="1" s="1" a="1"/>
  <c r="O67" i="1" s="1"/>
  <c r="M68" i="1"/>
  <c r="O68" i="1" s="1" a="1"/>
  <c r="O68" i="1" s="1"/>
  <c r="M69" i="1"/>
  <c r="O69" i="1" s="1" a="1"/>
  <c r="O69" i="1" s="1"/>
  <c r="M70" i="1"/>
  <c r="O70" i="1" s="1" a="1"/>
  <c r="O70" i="1" s="1"/>
  <c r="M71" i="1"/>
  <c r="O71" i="1" s="1" a="1"/>
  <c r="O71" i="1" s="1"/>
  <c r="M72" i="1"/>
  <c r="O72" i="1" s="1" a="1"/>
  <c r="O72" i="1" s="1"/>
  <c r="M73" i="1"/>
  <c r="O73" i="1" s="1" a="1"/>
  <c r="O73" i="1" s="1"/>
  <c r="M74" i="1"/>
  <c r="O74" i="1" s="1" a="1"/>
  <c r="O74" i="1" s="1"/>
  <c r="M75" i="1"/>
  <c r="O75" i="1" s="1" a="1"/>
  <c r="O75" i="1" s="1"/>
  <c r="M76" i="1"/>
  <c r="O76" i="1" s="1" a="1"/>
  <c r="O76" i="1" s="1"/>
  <c r="M77" i="1"/>
  <c r="O77" i="1" s="1" a="1"/>
  <c r="O77" i="1" s="1"/>
  <c r="M78" i="1"/>
  <c r="O78" i="1" s="1" a="1"/>
  <c r="O78" i="1" s="1"/>
  <c r="M79" i="1"/>
  <c r="O79" i="1" s="1" a="1"/>
  <c r="O79" i="1" s="1"/>
  <c r="M80" i="1"/>
  <c r="O80" i="1" s="1" a="1"/>
  <c r="O80" i="1" s="1"/>
  <c r="M81" i="1"/>
  <c r="O81" i="1" s="1" a="1"/>
  <c r="O81" i="1" s="1"/>
  <c r="M82" i="1"/>
  <c r="O82" i="1" s="1" a="1"/>
  <c r="O82" i="1" s="1"/>
  <c r="M83" i="1"/>
  <c r="O83" i="1" s="1" a="1"/>
  <c r="O83" i="1" s="1"/>
  <c r="M84" i="1"/>
  <c r="O84" i="1" s="1" a="1"/>
  <c r="O84" i="1" s="1"/>
  <c r="M85" i="1"/>
  <c r="O85" i="1" s="1" a="1"/>
  <c r="O85" i="1" s="1"/>
  <c r="M86" i="1"/>
  <c r="O86" i="1" s="1" a="1"/>
  <c r="O86" i="1" s="1"/>
  <c r="M87" i="1"/>
  <c r="O87" i="1" s="1" a="1"/>
  <c r="O87" i="1" s="1"/>
  <c r="M88" i="1"/>
  <c r="O88" i="1" s="1" a="1"/>
  <c r="O88" i="1" s="1"/>
  <c r="M89" i="1"/>
  <c r="O89" i="1" s="1" a="1"/>
  <c r="O89" i="1" s="1"/>
  <c r="M90" i="1"/>
  <c r="O90" i="1" s="1" a="1"/>
  <c r="O90" i="1" s="1"/>
  <c r="M91" i="1"/>
  <c r="O91" i="1" s="1" a="1"/>
  <c r="O91" i="1" s="1"/>
  <c r="M92" i="1"/>
  <c r="O92" i="1" s="1" a="1"/>
  <c r="O92" i="1" s="1"/>
  <c r="M93" i="1"/>
  <c r="O93" i="1" s="1" a="1"/>
  <c r="O93" i="1" s="1"/>
  <c r="M94" i="1"/>
  <c r="O94" i="1" s="1" a="1"/>
  <c r="O94" i="1" s="1"/>
  <c r="M95" i="1"/>
  <c r="O95" i="1" s="1" a="1"/>
  <c r="O95" i="1" s="1"/>
  <c r="M96" i="1"/>
  <c r="O96" i="1" s="1" a="1"/>
  <c r="O96" i="1" s="1"/>
  <c r="M97" i="1"/>
  <c r="O97" i="1" s="1" a="1"/>
  <c r="O97" i="1" s="1"/>
  <c r="M98" i="1"/>
  <c r="O98" i="1" s="1" a="1"/>
  <c r="O98" i="1" s="1"/>
  <c r="M99" i="1"/>
  <c r="O99" i="1" s="1" a="1"/>
  <c r="O99" i="1" s="1"/>
  <c r="M100" i="1"/>
  <c r="O100" i="1" s="1" a="1"/>
  <c r="O100" i="1" s="1"/>
  <c r="M101" i="1"/>
  <c r="O101" i="1" s="1" a="1"/>
  <c r="O101" i="1" s="1"/>
  <c r="M102" i="1"/>
  <c r="O102" i="1" s="1" a="1"/>
  <c r="O102" i="1" s="1"/>
  <c r="M103" i="1"/>
  <c r="O103" i="1" s="1" a="1"/>
  <c r="O103" i="1" s="1"/>
  <c r="M104" i="1"/>
  <c r="O104" i="1" s="1" a="1"/>
  <c r="O104" i="1" s="1"/>
  <c r="M105" i="1"/>
  <c r="O105" i="1" s="1" a="1"/>
  <c r="O105" i="1" s="1"/>
  <c r="M106" i="1"/>
  <c r="O106" i="1" s="1" a="1"/>
  <c r="O106" i="1" s="1"/>
  <c r="M107" i="1"/>
  <c r="O107" i="1" s="1" a="1"/>
  <c r="O107" i="1" s="1"/>
  <c r="M108" i="1"/>
  <c r="O108" i="1" s="1" a="1"/>
  <c r="O108" i="1" s="1"/>
  <c r="M109" i="1"/>
  <c r="O109" i="1" s="1" a="1"/>
  <c r="O109" i="1" s="1"/>
  <c r="M110" i="1"/>
  <c r="O110" i="1" s="1" a="1"/>
  <c r="O110" i="1" s="1"/>
  <c r="M111" i="1"/>
  <c r="O111" i="1" s="1" a="1"/>
  <c r="O111" i="1" s="1"/>
  <c r="M112" i="1"/>
  <c r="O112" i="1" s="1" a="1"/>
  <c r="O112" i="1" s="1"/>
  <c r="M113" i="1"/>
  <c r="O113" i="1" s="1" a="1"/>
  <c r="O113" i="1" s="1"/>
  <c r="E3" i="1"/>
  <c r="C2"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2" i="1"/>
  <c r="O32" i="2" l="1" a="1"/>
  <c r="O32" i="2" s="1"/>
  <c r="G32" i="2"/>
  <c r="F28" i="2"/>
  <c r="N34" i="1"/>
  <c r="G4" i="2"/>
  <c r="F8" i="2"/>
  <c r="G12" i="2"/>
  <c r="I12" i="2" s="1" a="1"/>
  <c r="I12" i="2" s="1"/>
  <c r="F40" i="2"/>
  <c r="F44" i="2"/>
  <c r="F52" i="2"/>
  <c r="F60" i="2"/>
  <c r="F68" i="2"/>
  <c r="G72" i="2"/>
  <c r="I72" i="2" s="1" a="1"/>
  <c r="I72" i="2" s="1"/>
  <c r="G76" i="2"/>
  <c r="I76" i="2" s="1" a="1"/>
  <c r="I76" i="2" s="1"/>
  <c r="F84" i="2"/>
  <c r="G88" i="2"/>
  <c r="I88" i="2" s="1" a="1"/>
  <c r="I88" i="2" s="1"/>
  <c r="G92" i="2"/>
  <c r="I92" i="2" s="1" a="1"/>
  <c r="I92" i="2" s="1"/>
  <c r="G39" i="2"/>
  <c r="I39" i="2" s="1" a="1"/>
  <c r="I39" i="2" s="1"/>
  <c r="G68" i="2"/>
  <c r="O13" i="2" a="1"/>
  <c r="O13" i="2" s="1"/>
  <c r="O28" i="2" a="1"/>
  <c r="O28" i="2" s="1"/>
  <c r="F32" i="2"/>
  <c r="O24" i="2" a="1"/>
  <c r="O24" i="2" s="1"/>
  <c r="F46" i="2"/>
  <c r="O5" i="2" a="1"/>
  <c r="O5" i="2" s="1"/>
  <c r="O9" i="2" a="1"/>
  <c r="O9" i="2" s="1"/>
  <c r="O17" i="2" a="1"/>
  <c r="O17" i="2" s="1"/>
  <c r="O20" i="2" a="1"/>
  <c r="O20" i="2" s="1"/>
  <c r="G84" i="2"/>
  <c r="I84" i="2" s="1" a="1"/>
  <c r="I84" i="2" s="1"/>
  <c r="F21" i="2"/>
  <c r="F25" i="2"/>
  <c r="F29" i="2"/>
  <c r="F33" i="2"/>
  <c r="G77" i="2"/>
  <c r="I77" i="2" s="1" a="1"/>
  <c r="I77" i="2" s="1"/>
  <c r="G109" i="2"/>
  <c r="I109" i="2" s="1" a="1"/>
  <c r="I109" i="2" s="1"/>
  <c r="G69" i="2"/>
  <c r="I69" i="2" s="1" a="1"/>
  <c r="I69" i="2" s="1"/>
  <c r="F10" i="2"/>
  <c r="G14" i="2"/>
  <c r="H14" i="2" s="1"/>
  <c r="F18" i="2"/>
  <c r="G23" i="2"/>
  <c r="H23" i="2" s="1"/>
  <c r="G27" i="2"/>
  <c r="H27" i="2" s="1"/>
  <c r="G31" i="2"/>
  <c r="I31" i="2" s="1" a="1"/>
  <c r="I31" i="2" s="1"/>
  <c r="G34" i="2"/>
  <c r="H34" i="2" s="1"/>
  <c r="F35" i="2"/>
  <c r="F66" i="2"/>
  <c r="F72" i="2"/>
  <c r="G80" i="2"/>
  <c r="I80" i="2" s="1" a="1"/>
  <c r="I80" i="2" s="1"/>
  <c r="G81" i="2"/>
  <c r="H81" i="2" s="1"/>
  <c r="F88" i="2"/>
  <c r="G96" i="2"/>
  <c r="I96" i="2" s="1" a="1"/>
  <c r="I96" i="2" s="1"/>
  <c r="G97" i="2"/>
  <c r="H97" i="2" s="1"/>
  <c r="F100" i="2"/>
  <c r="F104" i="2"/>
  <c r="G112" i="2"/>
  <c r="I112" i="2" s="1" a="1"/>
  <c r="I112" i="2" s="1"/>
  <c r="F113" i="2"/>
  <c r="G2" i="2"/>
  <c r="G6" i="2"/>
  <c r="I6" i="2" s="1" a="1"/>
  <c r="I6" i="2" s="1"/>
  <c r="G38" i="2"/>
  <c r="I38" i="2" s="1" a="1"/>
  <c r="I38" i="2" s="1"/>
  <c r="F73" i="2"/>
  <c r="F89" i="2"/>
  <c r="G105" i="2"/>
  <c r="I105" i="2" s="1" a="1"/>
  <c r="I105" i="2" s="1"/>
  <c r="F42" i="2"/>
  <c r="F69" i="2"/>
  <c r="F5" i="2"/>
  <c r="G9" i="2"/>
  <c r="H9" i="2" s="1"/>
  <c r="F11" i="2"/>
  <c r="F13" i="2"/>
  <c r="G15" i="2"/>
  <c r="I15" i="2" s="1" a="1"/>
  <c r="I15" i="2" s="1"/>
  <c r="G17" i="2"/>
  <c r="H17" i="2" s="1"/>
  <c r="G19" i="2"/>
  <c r="I19" i="2" s="1" a="1"/>
  <c r="I19" i="2" s="1"/>
  <c r="G22" i="2"/>
  <c r="I22" i="2" s="1" a="1"/>
  <c r="I22" i="2" s="1"/>
  <c r="F23" i="2"/>
  <c r="G26" i="2"/>
  <c r="I26" i="2" s="1" a="1"/>
  <c r="I26" i="2" s="1"/>
  <c r="F27" i="2"/>
  <c r="G30" i="2"/>
  <c r="I30" i="2" s="1" a="1"/>
  <c r="I30" i="2" s="1"/>
  <c r="F31" i="2"/>
  <c r="G35" i="2"/>
  <c r="I35" i="2" s="1" a="1"/>
  <c r="I35" i="2" s="1"/>
  <c r="F36" i="2"/>
  <c r="F41" i="2"/>
  <c r="F45" i="2"/>
  <c r="F47" i="2"/>
  <c r="F49" i="2"/>
  <c r="F53" i="2"/>
  <c r="F55" i="2"/>
  <c r="F57" i="2"/>
  <c r="F61" i="2"/>
  <c r="F63" i="2"/>
  <c r="G67" i="2"/>
  <c r="F76" i="2"/>
  <c r="F85" i="2"/>
  <c r="F92" i="2"/>
  <c r="F101" i="2"/>
  <c r="F108" i="2"/>
  <c r="G113" i="2"/>
  <c r="I113" i="2" s="1" a="1"/>
  <c r="I113" i="2" s="1"/>
  <c r="F3" i="2"/>
  <c r="G7" i="2"/>
  <c r="H7" i="2" s="1"/>
  <c r="G21" i="2"/>
  <c r="I21" i="2" s="1" a="1"/>
  <c r="I21" i="2" s="1"/>
  <c r="F22" i="2"/>
  <c r="G25" i="2"/>
  <c r="I25" i="2" s="1" a="1"/>
  <c r="I25" i="2" s="1"/>
  <c r="F26" i="2"/>
  <c r="G29" i="2"/>
  <c r="I29" i="2" s="1" a="1"/>
  <c r="I29" i="2" s="1"/>
  <c r="F30" i="2"/>
  <c r="G33" i="2"/>
  <c r="I33" i="2" s="1" a="1"/>
  <c r="I33" i="2" s="1"/>
  <c r="G42" i="2"/>
  <c r="I42" i="2" s="1" a="1"/>
  <c r="I42" i="2" s="1"/>
  <c r="F43" i="2"/>
  <c r="G44" i="2"/>
  <c r="G45" i="2"/>
  <c r="H45" i="2" s="1"/>
  <c r="G47" i="2"/>
  <c r="G50" i="2"/>
  <c r="I50" i="2" s="1" a="1"/>
  <c r="I50" i="2" s="1"/>
  <c r="F51" i="2"/>
  <c r="G52" i="2"/>
  <c r="G53" i="2"/>
  <c r="H53" i="2" s="1"/>
  <c r="G55" i="2"/>
  <c r="F59" i="2"/>
  <c r="G60" i="2"/>
  <c r="G61" i="2"/>
  <c r="H61" i="2" s="1"/>
  <c r="G63" i="2"/>
  <c r="H63" i="2" s="1"/>
  <c r="F77" i="2"/>
  <c r="F80" i="2"/>
  <c r="G85" i="2"/>
  <c r="H85" i="2" s="1"/>
  <c r="F93" i="2"/>
  <c r="F96" i="2"/>
  <c r="G101" i="2"/>
  <c r="H101" i="2" s="1"/>
  <c r="F105" i="2"/>
  <c r="F109" i="2"/>
  <c r="F112" i="2"/>
  <c r="G20" i="2"/>
  <c r="I20" i="2" s="1" a="1"/>
  <c r="I20" i="2" s="1"/>
  <c r="G24" i="2"/>
  <c r="I24" i="2" s="1" a="1"/>
  <c r="I24" i="2" s="1"/>
  <c r="G28" i="2"/>
  <c r="H28" i="2" s="1"/>
  <c r="F39" i="2"/>
  <c r="G48" i="2"/>
  <c r="I48" i="2" s="1" a="1"/>
  <c r="I48" i="2" s="1"/>
  <c r="G56" i="2"/>
  <c r="I56" i="2" s="1" a="1"/>
  <c r="I56" i="2" s="1"/>
  <c r="G73" i="2"/>
  <c r="I73" i="2" s="1" a="1"/>
  <c r="I73" i="2" s="1"/>
  <c r="F81" i="2"/>
  <c r="G89" i="2"/>
  <c r="I89" i="2" s="1" a="1"/>
  <c r="I89" i="2" s="1"/>
  <c r="F97" i="2"/>
  <c r="I23" i="2" a="1"/>
  <c r="I23" i="2" s="1"/>
  <c r="I27" i="2" a="1"/>
  <c r="I27" i="2" s="1"/>
  <c r="I17" i="2" a="1"/>
  <c r="I17" i="2" s="1"/>
  <c r="H26" i="2"/>
  <c r="H29" i="2"/>
  <c r="H4" i="2"/>
  <c r="I4" i="2" a="1"/>
  <c r="I4" i="2" s="1"/>
  <c r="H6" i="2"/>
  <c r="I14" i="2" a="1"/>
  <c r="I14" i="2" s="1"/>
  <c r="I32" i="2" a="1"/>
  <c r="I32" i="2" s="1"/>
  <c r="H32" i="2"/>
  <c r="F4" i="2"/>
  <c r="F6" i="2"/>
  <c r="F7" i="2"/>
  <c r="F9" i="2"/>
  <c r="F12" i="2"/>
  <c r="F14" i="2"/>
  <c r="F15" i="2"/>
  <c r="F17" i="2"/>
  <c r="F19" i="2"/>
  <c r="G3" i="2"/>
  <c r="G5" i="2"/>
  <c r="G8" i="2"/>
  <c r="G10" i="2"/>
  <c r="G11" i="2"/>
  <c r="G13" i="2"/>
  <c r="G16" i="2"/>
  <c r="G18" i="2"/>
  <c r="G36" i="2"/>
  <c r="F37" i="2"/>
  <c r="H39" i="2"/>
  <c r="G40" i="2"/>
  <c r="G43" i="2"/>
  <c r="G51" i="2"/>
  <c r="F58" i="2"/>
  <c r="G59" i="2"/>
  <c r="G65" i="2"/>
  <c r="F65" i="2"/>
  <c r="F34" i="2"/>
  <c r="G37" i="2"/>
  <c r="F38" i="2"/>
  <c r="G41" i="2"/>
  <c r="G46" i="2"/>
  <c r="F48" i="2"/>
  <c r="G49" i="2"/>
  <c r="G54" i="2"/>
  <c r="F56" i="2"/>
  <c r="G57" i="2"/>
  <c r="H58" i="2"/>
  <c r="G62" i="2"/>
  <c r="H69" i="2"/>
  <c r="G64" i="2"/>
  <c r="F64" i="2"/>
  <c r="I68" i="2" a="1"/>
  <c r="I68" i="2" s="1"/>
  <c r="H68" i="2"/>
  <c r="G70" i="2"/>
  <c r="F70" i="2"/>
  <c r="G74" i="2"/>
  <c r="H77" i="2"/>
  <c r="G78" i="2"/>
  <c r="G82" i="2"/>
  <c r="I85" i="2" a="1"/>
  <c r="I85" i="2" s="1"/>
  <c r="G86" i="2"/>
  <c r="G90" i="2"/>
  <c r="I93" i="2" a="1"/>
  <c r="I93" i="2" s="1"/>
  <c r="H93" i="2"/>
  <c r="G94" i="2"/>
  <c r="G98" i="2"/>
  <c r="G102" i="2"/>
  <c r="G106" i="2"/>
  <c r="G110" i="2"/>
  <c r="G71" i="2"/>
  <c r="F71" i="2"/>
  <c r="G75" i="2"/>
  <c r="F75" i="2"/>
  <c r="G79" i="2"/>
  <c r="F79" i="2"/>
  <c r="G83" i="2"/>
  <c r="F83" i="2"/>
  <c r="G87" i="2"/>
  <c r="F87" i="2"/>
  <c r="G91" i="2"/>
  <c r="F91" i="2"/>
  <c r="G95" i="2"/>
  <c r="F95" i="2"/>
  <c r="G99" i="2"/>
  <c r="F99" i="2"/>
  <c r="G103" i="2"/>
  <c r="F103" i="2"/>
  <c r="G107" i="2"/>
  <c r="F107" i="2"/>
  <c r="G111" i="2"/>
  <c r="F111" i="2"/>
  <c r="G66" i="2"/>
  <c r="F67" i="2"/>
  <c r="H72" i="2"/>
  <c r="F74" i="2"/>
  <c r="F78" i="2"/>
  <c r="F82" i="2"/>
  <c r="F86" i="2"/>
  <c r="H88" i="2"/>
  <c r="F90" i="2"/>
  <c r="H92" i="2"/>
  <c r="F94" i="2"/>
  <c r="H96" i="2"/>
  <c r="F98" i="2"/>
  <c r="H100" i="2"/>
  <c r="F102" i="2"/>
  <c r="H104" i="2"/>
  <c r="F106" i="2"/>
  <c r="H108" i="2"/>
  <c r="F110" i="2"/>
  <c r="H112" i="2"/>
  <c r="O33" i="1" a="1"/>
  <c r="O33" i="1" s="1"/>
  <c r="O17" i="1" a="1"/>
  <c r="O17" i="1" s="1"/>
  <c r="N30" i="1"/>
  <c r="N14" i="1"/>
  <c r="O28" i="1" a="1"/>
  <c r="O28" i="1" s="1"/>
  <c r="O12" i="1" a="1"/>
  <c r="O12" i="1" s="1"/>
  <c r="N26" i="1"/>
  <c r="N10" i="1"/>
  <c r="O25" i="1" a="1"/>
  <c r="O25" i="1" s="1"/>
  <c r="O9" i="1" a="1"/>
  <c r="O9" i="1" s="1"/>
  <c r="N38" i="1"/>
  <c r="N22" i="1"/>
  <c r="N6" i="1"/>
  <c r="O36" i="1" a="1"/>
  <c r="O36" i="1" s="1"/>
  <c r="O20" i="1" a="1"/>
  <c r="O20" i="1" s="1"/>
  <c r="O4" i="1" a="1"/>
  <c r="O4" i="1" s="1"/>
  <c r="O39" i="1" a="1"/>
  <c r="O39" i="1" s="1"/>
  <c r="N39" i="1"/>
  <c r="O35" i="1" a="1"/>
  <c r="O35" i="1" s="1"/>
  <c r="N35" i="1"/>
  <c r="O31" i="1" a="1"/>
  <c r="O31" i="1" s="1"/>
  <c r="N31" i="1"/>
  <c r="O27" i="1" a="1"/>
  <c r="O27" i="1" s="1"/>
  <c r="N27" i="1"/>
  <c r="O23" i="1" a="1"/>
  <c r="O23" i="1" s="1"/>
  <c r="N23" i="1"/>
  <c r="O19" i="1" a="1"/>
  <c r="O19" i="1" s="1"/>
  <c r="N19" i="1"/>
  <c r="O15" i="1" a="1"/>
  <c r="O15" i="1" s="1"/>
  <c r="N15" i="1"/>
  <c r="O11" i="1" a="1"/>
  <c r="O11" i="1" s="1"/>
  <c r="N11" i="1"/>
  <c r="O7" i="1" a="1"/>
  <c r="O7" i="1" s="1"/>
  <c r="N7" i="1"/>
  <c r="O3" i="1" a="1"/>
  <c r="O3" i="1" s="1"/>
  <c r="N3" i="1"/>
  <c r="N37" i="1"/>
  <c r="N29" i="1"/>
  <c r="N21" i="1"/>
  <c r="N13" i="1"/>
  <c r="N5" i="1"/>
  <c r="N40" i="1"/>
  <c r="N32" i="1"/>
  <c r="N24" i="1"/>
  <c r="N16" i="1"/>
  <c r="N8" i="1"/>
  <c r="F30" i="1"/>
  <c r="F110" i="1"/>
  <c r="F46" i="1"/>
  <c r="O2" i="1" a="1"/>
  <c r="O2" i="1" s="1"/>
  <c r="F78" i="1"/>
  <c r="F62" i="1"/>
  <c r="F14" i="1"/>
  <c r="F106" i="1"/>
  <c r="F102" i="1"/>
  <c r="F98" i="1"/>
  <c r="F90" i="1"/>
  <c r="F86" i="1"/>
  <c r="F82" i="1"/>
  <c r="F74" i="1"/>
  <c r="F70" i="1"/>
  <c r="F66" i="1"/>
  <c r="F58" i="1"/>
  <c r="F54" i="1"/>
  <c r="F50" i="1"/>
  <c r="F42" i="1"/>
  <c r="F38" i="1"/>
  <c r="F34" i="1"/>
  <c r="F26" i="1"/>
  <c r="F22" i="1"/>
  <c r="F18" i="1"/>
  <c r="F10" i="1"/>
  <c r="F6" i="1"/>
  <c r="F108" i="1"/>
  <c r="F96" i="1"/>
  <c r="F84" i="1"/>
  <c r="F72" i="1"/>
  <c r="F56" i="1"/>
  <c r="F44" i="1"/>
  <c r="F32" i="1"/>
  <c r="F20" i="1"/>
  <c r="F12" i="1"/>
  <c r="F4" i="1"/>
  <c r="F111" i="1"/>
  <c r="F107" i="1"/>
  <c r="F103" i="1"/>
  <c r="F99" i="1"/>
  <c r="F95" i="1"/>
  <c r="F91" i="1"/>
  <c r="F87" i="1"/>
  <c r="F83" i="1"/>
  <c r="F79" i="1"/>
  <c r="F75" i="1"/>
  <c r="F71" i="1"/>
  <c r="F67" i="1"/>
  <c r="F63" i="1"/>
  <c r="F59" i="1"/>
  <c r="F55" i="1"/>
  <c r="F51" i="1"/>
  <c r="F47" i="1"/>
  <c r="F43" i="1"/>
  <c r="F39" i="1"/>
  <c r="F35" i="1"/>
  <c r="F31" i="1"/>
  <c r="F27" i="1"/>
  <c r="F23" i="1"/>
  <c r="F19" i="1"/>
  <c r="F15" i="1"/>
  <c r="F11" i="1"/>
  <c r="F7" i="1"/>
  <c r="F104" i="1"/>
  <c r="F92" i="1"/>
  <c r="F80" i="1"/>
  <c r="F68" i="1"/>
  <c r="F60" i="1"/>
  <c r="F48" i="1"/>
  <c r="F36" i="1"/>
  <c r="F24" i="1"/>
  <c r="F8" i="1"/>
  <c r="F3" i="1"/>
  <c r="F112" i="1"/>
  <c r="F100" i="1"/>
  <c r="F88" i="1"/>
  <c r="F76" i="1"/>
  <c r="F64" i="1"/>
  <c r="F52" i="1"/>
  <c r="F40" i="1"/>
  <c r="F28" i="1"/>
  <c r="F16" i="1"/>
  <c r="F113" i="1"/>
  <c r="F109" i="1"/>
  <c r="F105" i="1"/>
  <c r="F101" i="1"/>
  <c r="F97" i="1"/>
  <c r="F93" i="1"/>
  <c r="F89" i="1"/>
  <c r="F85" i="1"/>
  <c r="F81" i="1"/>
  <c r="F77" i="1"/>
  <c r="F73" i="1"/>
  <c r="F69" i="1"/>
  <c r="F65" i="1"/>
  <c r="F61" i="1"/>
  <c r="F57" i="1"/>
  <c r="F53" i="1"/>
  <c r="F49" i="1"/>
  <c r="F45" i="1"/>
  <c r="F41" i="1"/>
  <c r="F37" i="1"/>
  <c r="F33" i="1"/>
  <c r="F29" i="1"/>
  <c r="F25" i="1"/>
  <c r="F21" i="1"/>
  <c r="F17" i="1"/>
  <c r="F13" i="1"/>
  <c r="F9" i="1"/>
  <c r="F5" i="1"/>
  <c r="F2" i="1"/>
  <c r="G110" i="1"/>
  <c r="G106" i="1"/>
  <c r="G102" i="1"/>
  <c r="G98" i="1"/>
  <c r="G94" i="1"/>
  <c r="G90" i="1"/>
  <c r="G86" i="1"/>
  <c r="G82" i="1"/>
  <c r="G78" i="1"/>
  <c r="G74" i="1"/>
  <c r="G70" i="1"/>
  <c r="G66" i="1"/>
  <c r="G62" i="1"/>
  <c r="G58" i="1"/>
  <c r="G54" i="1"/>
  <c r="G50" i="1"/>
  <c r="G46" i="1"/>
  <c r="G42" i="1"/>
  <c r="G38" i="1"/>
  <c r="G34" i="1"/>
  <c r="G30" i="1"/>
  <c r="G26" i="1"/>
  <c r="G22" i="1"/>
  <c r="G18" i="1"/>
  <c r="G14" i="1"/>
  <c r="G10" i="1"/>
  <c r="G3" i="1"/>
  <c r="G6" i="1"/>
  <c r="G113" i="1"/>
  <c r="G109" i="1"/>
  <c r="G105" i="1"/>
  <c r="G101" i="1"/>
  <c r="G97" i="1"/>
  <c r="G93" i="1"/>
  <c r="G89" i="1"/>
  <c r="G85" i="1"/>
  <c r="G81" i="1"/>
  <c r="G77" i="1"/>
  <c r="G73" i="1"/>
  <c r="G69" i="1"/>
  <c r="G65" i="1"/>
  <c r="G61" i="1"/>
  <c r="G57" i="1"/>
  <c r="G53" i="1"/>
  <c r="G49" i="1"/>
  <c r="G45" i="1"/>
  <c r="G41" i="1"/>
  <c r="G37" i="1"/>
  <c r="G33" i="1"/>
  <c r="G29" i="1"/>
  <c r="G25" i="1"/>
  <c r="G21" i="1"/>
  <c r="G17" i="1"/>
  <c r="G13" i="1"/>
  <c r="G9" i="1"/>
  <c r="G5" i="1"/>
  <c r="G112" i="1"/>
  <c r="G108" i="1"/>
  <c r="G104" i="1"/>
  <c r="G100" i="1"/>
  <c r="G96" i="1"/>
  <c r="G92" i="1"/>
  <c r="G88" i="1"/>
  <c r="G84" i="1"/>
  <c r="G80" i="1"/>
  <c r="G76" i="1"/>
  <c r="G72" i="1"/>
  <c r="G68" i="1"/>
  <c r="G64" i="1"/>
  <c r="G60" i="1"/>
  <c r="G56" i="1"/>
  <c r="G52" i="1"/>
  <c r="G48" i="1"/>
  <c r="G44" i="1"/>
  <c r="G40" i="1"/>
  <c r="G36" i="1"/>
  <c r="G32" i="1"/>
  <c r="G28" i="1"/>
  <c r="G24" i="1"/>
  <c r="G20" i="1"/>
  <c r="G16" i="1"/>
  <c r="G12" i="1"/>
  <c r="G8" i="1"/>
  <c r="G4" i="1"/>
  <c r="G111" i="1"/>
  <c r="G107" i="1"/>
  <c r="G103" i="1"/>
  <c r="G99" i="1"/>
  <c r="G95" i="1"/>
  <c r="G91" i="1"/>
  <c r="G87" i="1"/>
  <c r="G83" i="1"/>
  <c r="G79" i="1"/>
  <c r="G75" i="1"/>
  <c r="G71" i="1"/>
  <c r="G67" i="1"/>
  <c r="G63" i="1"/>
  <c r="G59" i="1"/>
  <c r="G55" i="1"/>
  <c r="G51" i="1"/>
  <c r="G47" i="1"/>
  <c r="G43" i="1"/>
  <c r="G39" i="1"/>
  <c r="G35" i="1"/>
  <c r="G31" i="1"/>
  <c r="G27" i="1"/>
  <c r="G23" i="1"/>
  <c r="G19" i="1"/>
  <c r="G15" i="1"/>
  <c r="G11" i="1"/>
  <c r="G7" i="1"/>
  <c r="H76" i="2" l="1"/>
  <c r="I7" i="2" a="1"/>
  <c r="I7" i="2" s="1"/>
  <c r="H84" i="2"/>
  <c r="H105" i="2"/>
  <c r="H12" i="2"/>
  <c r="I81" i="2" a="1"/>
  <c r="I81" i="2" s="1"/>
  <c r="H109" i="2"/>
  <c r="H89" i="2"/>
  <c r="H30" i="2"/>
  <c r="H19" i="2"/>
  <c r="I9" i="2" a="1"/>
  <c r="I9" i="2" s="1"/>
  <c r="H31" i="2"/>
  <c r="I97" i="2" a="1"/>
  <c r="I97" i="2" s="1"/>
  <c r="I101" i="2" a="1"/>
  <c r="I101" i="2" s="1"/>
  <c r="I45" i="2" a="1"/>
  <c r="I45" i="2" s="1"/>
  <c r="H33" i="2"/>
  <c r="H38" i="2"/>
  <c r="H80" i="2"/>
  <c r="I28" i="2" a="1"/>
  <c r="I28" i="2" s="1"/>
  <c r="H24" i="2"/>
  <c r="H21" i="2"/>
  <c r="I34" i="2" a="1"/>
  <c r="I34" i="2" s="1"/>
  <c r="H15" i="2"/>
  <c r="H73" i="2"/>
  <c r="I63" i="2" a="1"/>
  <c r="I63" i="2" s="1"/>
  <c r="H50" i="2"/>
  <c r="I61" i="2" a="1"/>
  <c r="I61" i="2" s="1"/>
  <c r="H35" i="2"/>
  <c r="I60" i="2" a="1"/>
  <c r="I60" i="2" s="1"/>
  <c r="H60" i="2"/>
  <c r="I52" i="2" a="1"/>
  <c r="I52" i="2" s="1"/>
  <c r="H52" i="2"/>
  <c r="H113" i="2"/>
  <c r="H56" i="2"/>
  <c r="H20" i="2"/>
  <c r="H25" i="2"/>
  <c r="H22" i="2"/>
  <c r="I44" i="2" a="1"/>
  <c r="I44" i="2" s="1"/>
  <c r="H44" i="2"/>
  <c r="H67" i="2"/>
  <c r="I67" i="2" a="1"/>
  <c r="I67" i="2" s="1"/>
  <c r="H47" i="2"/>
  <c r="I47" i="2" a="1"/>
  <c r="I47" i="2" s="1"/>
  <c r="H48" i="2"/>
  <c r="H42" i="2"/>
  <c r="I53" i="2" a="1"/>
  <c r="I53" i="2" s="1"/>
  <c r="H55" i="2"/>
  <c r="I55" i="2" a="1"/>
  <c r="I55" i="2" s="1"/>
  <c r="I66" i="2" a="1"/>
  <c r="I66" i="2" s="1"/>
  <c r="H66" i="2"/>
  <c r="H99" i="2"/>
  <c r="I99" i="2" a="1"/>
  <c r="I99" i="2" s="1"/>
  <c r="H91" i="2"/>
  <c r="I91" i="2" a="1"/>
  <c r="I91" i="2" s="1"/>
  <c r="H83" i="2"/>
  <c r="I83" i="2" a="1"/>
  <c r="I83" i="2" s="1"/>
  <c r="H75" i="2"/>
  <c r="I75" i="2" a="1"/>
  <c r="I75" i="2" s="1"/>
  <c r="I106" i="2" a="1"/>
  <c r="I106" i="2" s="1"/>
  <c r="H106" i="2"/>
  <c r="I70" i="2" a="1"/>
  <c r="I70" i="2" s="1"/>
  <c r="H70" i="2"/>
  <c r="I64" i="2" a="1"/>
  <c r="I64" i="2" s="1"/>
  <c r="H64" i="2"/>
  <c r="I36" i="2" a="1"/>
  <c r="I36" i="2" s="1"/>
  <c r="H36" i="2"/>
  <c r="H8" i="2"/>
  <c r="I8" i="2" a="1"/>
  <c r="I8" i="2" s="1"/>
  <c r="I110" i="2" a="1"/>
  <c r="I110" i="2" s="1"/>
  <c r="H110" i="2"/>
  <c r="I94" i="2" a="1"/>
  <c r="I94" i="2" s="1"/>
  <c r="H94" i="2"/>
  <c r="I78" i="2" a="1"/>
  <c r="I78" i="2" s="1"/>
  <c r="H78" i="2"/>
  <c r="H49" i="2"/>
  <c r="I49" i="2" a="1"/>
  <c r="I49" i="2" s="1"/>
  <c r="H51" i="2"/>
  <c r="I51" i="2" a="1"/>
  <c r="I51" i="2" s="1"/>
  <c r="H5" i="2"/>
  <c r="I5" i="2" a="1"/>
  <c r="I5" i="2" s="1"/>
  <c r="H95" i="2"/>
  <c r="I95" i="2" a="1"/>
  <c r="I95" i="2" s="1"/>
  <c r="H59" i="2"/>
  <c r="I59" i="2" a="1"/>
  <c r="I59" i="2" s="1"/>
  <c r="I11" i="2" a="1"/>
  <c r="I11" i="2" s="1"/>
  <c r="H11" i="2"/>
  <c r="I3" i="2" a="1"/>
  <c r="I3" i="2" s="1"/>
  <c r="H3" i="2"/>
  <c r="H107" i="2"/>
  <c r="I107" i="2" a="1"/>
  <c r="I107" i="2" s="1"/>
  <c r="I90" i="2" a="1"/>
  <c r="I90" i="2" s="1"/>
  <c r="H90" i="2"/>
  <c r="I74" i="2" a="1"/>
  <c r="I74" i="2" s="1"/>
  <c r="H74" i="2"/>
  <c r="H37" i="2"/>
  <c r="I37" i="2" a="1"/>
  <c r="I37" i="2" s="1"/>
  <c r="H65" i="2"/>
  <c r="I65" i="2" a="1"/>
  <c r="I65" i="2" s="1"/>
  <c r="I40" i="2" a="1"/>
  <c r="I40" i="2" s="1"/>
  <c r="H40" i="2"/>
  <c r="I16" i="2" a="1"/>
  <c r="I16" i="2" s="1"/>
  <c r="H16" i="2"/>
  <c r="H57" i="2"/>
  <c r="I57" i="2" a="1"/>
  <c r="I57" i="2" s="1"/>
  <c r="H41" i="2"/>
  <c r="I41" i="2" a="1"/>
  <c r="I41" i="2" s="1"/>
  <c r="I13" i="2" a="1"/>
  <c r="I13" i="2" s="1"/>
  <c r="H13" i="2"/>
  <c r="H111" i="2"/>
  <c r="I111" i="2" a="1"/>
  <c r="I111" i="2" s="1"/>
  <c r="H103" i="2"/>
  <c r="I103" i="2" a="1"/>
  <c r="I103" i="2" s="1"/>
  <c r="H87" i="2"/>
  <c r="I87" i="2" a="1"/>
  <c r="I87" i="2" s="1"/>
  <c r="H79" i="2"/>
  <c r="I79" i="2" a="1"/>
  <c r="I79" i="2" s="1"/>
  <c r="H71" i="2"/>
  <c r="I71" i="2" a="1"/>
  <c r="I71" i="2" s="1"/>
  <c r="I98" i="2" a="1"/>
  <c r="I98" i="2" s="1"/>
  <c r="H98" i="2"/>
  <c r="I82" i="2" a="1"/>
  <c r="I82" i="2" s="1"/>
  <c r="H82" i="2"/>
  <c r="I102" i="2" a="1"/>
  <c r="I102" i="2" s="1"/>
  <c r="H102" i="2"/>
  <c r="I86" i="2" a="1"/>
  <c r="I86" i="2" s="1"/>
  <c r="H86" i="2"/>
  <c r="I62" i="2" a="1"/>
  <c r="I62" i="2" s="1"/>
  <c r="H62" i="2"/>
  <c r="I54" i="2" a="1"/>
  <c r="I54" i="2" s="1"/>
  <c r="H54" i="2"/>
  <c r="I46" i="2" a="1"/>
  <c r="I46" i="2" s="1"/>
  <c r="H46" i="2"/>
  <c r="H43" i="2"/>
  <c r="I43" i="2" a="1"/>
  <c r="I43" i="2" s="1"/>
  <c r="I18" i="2" a="1"/>
  <c r="I18" i="2" s="1"/>
  <c r="H18" i="2"/>
  <c r="I10" i="2" a="1"/>
  <c r="I10" i="2" s="1"/>
  <c r="H10" i="2"/>
  <c r="I47" i="1" a="1"/>
  <c r="I47" i="1" s="1"/>
  <c r="H47" i="1"/>
  <c r="I95" i="1" a="1"/>
  <c r="I95" i="1" s="1"/>
  <c r="H95" i="1"/>
  <c r="I32" i="1" a="1"/>
  <c r="I32" i="1" s="1"/>
  <c r="H32" i="1"/>
  <c r="I112" i="1" a="1"/>
  <c r="I112" i="1" s="1"/>
  <c r="H112" i="1"/>
  <c r="I49" i="1" a="1"/>
  <c r="I49" i="1" s="1"/>
  <c r="H49" i="1"/>
  <c r="I113" i="1" a="1"/>
  <c r="I113" i="1" s="1"/>
  <c r="H113" i="1"/>
  <c r="I78" i="1" a="1"/>
  <c r="I78" i="1" s="1"/>
  <c r="H78" i="1"/>
  <c r="I51" i="1" a="1"/>
  <c r="I51" i="1" s="1"/>
  <c r="H51" i="1"/>
  <c r="I99" i="1" a="1"/>
  <c r="I99" i="1" s="1"/>
  <c r="H99" i="1"/>
  <c r="I52" i="1" a="1"/>
  <c r="I52" i="1" s="1"/>
  <c r="H52" i="1"/>
  <c r="I5" i="1" a="1"/>
  <c r="I5" i="1" s="1"/>
  <c r="H5" i="1"/>
  <c r="I53" i="1" a="1"/>
  <c r="I53" i="1" s="1"/>
  <c r="H53" i="1"/>
  <c r="I6" i="1" a="1"/>
  <c r="I6" i="1" s="1"/>
  <c r="H6" i="1"/>
  <c r="I82" i="1" a="1"/>
  <c r="I82" i="1" s="1"/>
  <c r="H82" i="1"/>
  <c r="I2" i="1" a="1"/>
  <c r="I2" i="1" s="1"/>
  <c r="H2" i="1"/>
  <c r="I31" i="1" a="1"/>
  <c r="I31" i="1" s="1"/>
  <c r="H31" i="1"/>
  <c r="I79" i="1" a="1"/>
  <c r="I79" i="1" s="1"/>
  <c r="H79" i="1"/>
  <c r="I111" i="1" a="1"/>
  <c r="I111" i="1" s="1"/>
  <c r="H111" i="1"/>
  <c r="I48" i="1" a="1"/>
  <c r="I48" i="1" s="1"/>
  <c r="H48" i="1"/>
  <c r="I80" i="1" a="1"/>
  <c r="I80" i="1" s="1"/>
  <c r="H80" i="1"/>
  <c r="I17" i="1" a="1"/>
  <c r="I17" i="1" s="1"/>
  <c r="H17" i="1"/>
  <c r="I65" i="1" a="1"/>
  <c r="I65" i="1" s="1"/>
  <c r="H65" i="1"/>
  <c r="I97" i="1" a="1"/>
  <c r="I97" i="1" s="1"/>
  <c r="H97" i="1"/>
  <c r="I30" i="1" a="1"/>
  <c r="I30" i="1" s="1"/>
  <c r="H30" i="1"/>
  <c r="I62" i="1" a="1"/>
  <c r="I62" i="1" s="1"/>
  <c r="H62" i="1"/>
  <c r="I110" i="1" a="1"/>
  <c r="I110" i="1" s="1"/>
  <c r="H110" i="1"/>
  <c r="I19" i="1" a="1"/>
  <c r="I19" i="1" s="1"/>
  <c r="H19" i="1"/>
  <c r="I67" i="1" a="1"/>
  <c r="I67" i="1" s="1"/>
  <c r="H67" i="1"/>
  <c r="I20" i="1" a="1"/>
  <c r="I20" i="1" s="1"/>
  <c r="H20" i="1"/>
  <c r="I68" i="1" a="1"/>
  <c r="I68" i="1" s="1"/>
  <c r="H68" i="1"/>
  <c r="I100" i="1" a="1"/>
  <c r="I100" i="1" s="1"/>
  <c r="H100" i="1"/>
  <c r="I37" i="1" a="1"/>
  <c r="I37" i="1" s="1"/>
  <c r="H37" i="1"/>
  <c r="I85" i="1" a="1"/>
  <c r="I85" i="1" s="1"/>
  <c r="H85" i="1"/>
  <c r="I18" i="1" a="1"/>
  <c r="I18" i="1" s="1"/>
  <c r="H18" i="1"/>
  <c r="I34" i="1" a="1"/>
  <c r="I34" i="1" s="1"/>
  <c r="H34" i="1"/>
  <c r="I66" i="1" a="1"/>
  <c r="I66" i="1" s="1"/>
  <c r="H66" i="1"/>
  <c r="I98" i="1" a="1"/>
  <c r="I98" i="1" s="1"/>
  <c r="H98" i="1"/>
  <c r="I23" i="1" a="1"/>
  <c r="I23" i="1" s="1"/>
  <c r="H23" i="1"/>
  <c r="I55" i="1" a="1"/>
  <c r="I55" i="1" s="1"/>
  <c r="H55" i="1"/>
  <c r="I87" i="1" a="1"/>
  <c r="I87" i="1" s="1"/>
  <c r="H87" i="1"/>
  <c r="I8" i="1" a="1"/>
  <c r="I8" i="1" s="1"/>
  <c r="H8" i="1"/>
  <c r="I40" i="1" a="1"/>
  <c r="I40" i="1" s="1"/>
  <c r="H40" i="1"/>
  <c r="I72" i="1" a="1"/>
  <c r="I72" i="1" s="1"/>
  <c r="H72" i="1"/>
  <c r="I104" i="1" a="1"/>
  <c r="I104" i="1" s="1"/>
  <c r="H104" i="1"/>
  <c r="I41" i="1" a="1"/>
  <c r="I41" i="1" s="1"/>
  <c r="H41" i="1"/>
  <c r="I73" i="1" a="1"/>
  <c r="I73" i="1" s="1"/>
  <c r="H73" i="1"/>
  <c r="I105" i="1" a="1"/>
  <c r="I105" i="1" s="1"/>
  <c r="H105" i="1"/>
  <c r="I38" i="1" a="1"/>
  <c r="I38" i="1" s="1"/>
  <c r="H38" i="1"/>
  <c r="I102" i="1" a="1"/>
  <c r="I102" i="1" s="1"/>
  <c r="H102" i="1"/>
  <c r="I15" i="1" a="1"/>
  <c r="I15" i="1" s="1"/>
  <c r="H15" i="1"/>
  <c r="I63" i="1" a="1"/>
  <c r="I63" i="1" s="1"/>
  <c r="H63" i="1"/>
  <c r="I16" i="1" a="1"/>
  <c r="I16" i="1" s="1"/>
  <c r="H16" i="1"/>
  <c r="I64" i="1" a="1"/>
  <c r="I64" i="1" s="1"/>
  <c r="H64" i="1"/>
  <c r="I96" i="1" a="1"/>
  <c r="I96" i="1" s="1"/>
  <c r="H96" i="1"/>
  <c r="I33" i="1" a="1"/>
  <c r="I33" i="1" s="1"/>
  <c r="H33" i="1"/>
  <c r="I81" i="1" a="1"/>
  <c r="I81" i="1" s="1"/>
  <c r="H81" i="1"/>
  <c r="I14" i="1" a="1"/>
  <c r="I14" i="1" s="1"/>
  <c r="H14" i="1"/>
  <c r="I46" i="1" a="1"/>
  <c r="I46" i="1" s="1"/>
  <c r="H46" i="1"/>
  <c r="I94" i="1" a="1"/>
  <c r="I94" i="1" s="1"/>
  <c r="H94" i="1"/>
  <c r="I35" i="1" a="1"/>
  <c r="I35" i="1" s="1"/>
  <c r="H35" i="1"/>
  <c r="I83" i="1" a="1"/>
  <c r="I83" i="1" s="1"/>
  <c r="H83" i="1"/>
  <c r="I4" i="1" a="1"/>
  <c r="I4" i="1" s="1"/>
  <c r="H4" i="1"/>
  <c r="I36" i="1" a="1"/>
  <c r="I36" i="1" s="1"/>
  <c r="H36" i="1"/>
  <c r="I84" i="1" a="1"/>
  <c r="I84" i="1" s="1"/>
  <c r="H84" i="1"/>
  <c r="I21" i="1" a="1"/>
  <c r="I21" i="1" s="1"/>
  <c r="H21" i="1"/>
  <c r="I69" i="1" a="1"/>
  <c r="I69" i="1" s="1"/>
  <c r="H69" i="1"/>
  <c r="I101" i="1" a="1"/>
  <c r="I101" i="1" s="1"/>
  <c r="H101" i="1"/>
  <c r="I50" i="1" a="1"/>
  <c r="I50" i="1" s="1"/>
  <c r="H50" i="1"/>
  <c r="I7" i="1" a="1"/>
  <c r="I7" i="1" s="1"/>
  <c r="H7" i="1"/>
  <c r="I39" i="1" a="1"/>
  <c r="I39" i="1" s="1"/>
  <c r="H39" i="1"/>
  <c r="I71" i="1" a="1"/>
  <c r="I71" i="1" s="1"/>
  <c r="H71" i="1"/>
  <c r="I103" i="1" a="1"/>
  <c r="I103" i="1" s="1"/>
  <c r="H103" i="1"/>
  <c r="I24" i="1" a="1"/>
  <c r="I24" i="1" s="1"/>
  <c r="H24" i="1"/>
  <c r="I56" i="1" a="1"/>
  <c r="I56" i="1" s="1"/>
  <c r="H56" i="1"/>
  <c r="I88" i="1" a="1"/>
  <c r="I88" i="1" s="1"/>
  <c r="H88" i="1"/>
  <c r="I9" i="1" a="1"/>
  <c r="I9" i="1" s="1"/>
  <c r="H9" i="1"/>
  <c r="I25" i="1" a="1"/>
  <c r="I25" i="1" s="1"/>
  <c r="H25" i="1"/>
  <c r="I57" i="1" a="1"/>
  <c r="I57" i="1" s="1"/>
  <c r="H57" i="1"/>
  <c r="I89" i="1" a="1"/>
  <c r="I89" i="1" s="1"/>
  <c r="H89" i="1"/>
  <c r="I3" i="1" a="1"/>
  <c r="I3" i="1" s="1"/>
  <c r="H3" i="1"/>
  <c r="I22" i="1" a="1"/>
  <c r="I22" i="1" s="1"/>
  <c r="H22" i="1"/>
  <c r="I54" i="1" a="1"/>
  <c r="I54" i="1" s="1"/>
  <c r="H54" i="1"/>
  <c r="I70" i="1" a="1"/>
  <c r="I70" i="1" s="1"/>
  <c r="H70" i="1"/>
  <c r="I86" i="1" a="1"/>
  <c r="I86" i="1" s="1"/>
  <c r="H86" i="1"/>
  <c r="I11" i="1" a="1"/>
  <c r="I11" i="1" s="1"/>
  <c r="H11" i="1"/>
  <c r="I27" i="1" a="1"/>
  <c r="I27" i="1" s="1"/>
  <c r="H27" i="1"/>
  <c r="I43" i="1" a="1"/>
  <c r="I43" i="1" s="1"/>
  <c r="H43" i="1"/>
  <c r="I59" i="1" a="1"/>
  <c r="I59" i="1" s="1"/>
  <c r="H59" i="1"/>
  <c r="I75" i="1" a="1"/>
  <c r="I75" i="1" s="1"/>
  <c r="H75" i="1"/>
  <c r="I91" i="1" a="1"/>
  <c r="I91" i="1" s="1"/>
  <c r="H91" i="1"/>
  <c r="I107" i="1" a="1"/>
  <c r="I107" i="1" s="1"/>
  <c r="H107" i="1"/>
  <c r="I12" i="1" a="1"/>
  <c r="I12" i="1" s="1"/>
  <c r="H12" i="1"/>
  <c r="I28" i="1" a="1"/>
  <c r="I28" i="1" s="1"/>
  <c r="H28" i="1"/>
  <c r="I44" i="1" a="1"/>
  <c r="I44" i="1" s="1"/>
  <c r="H44" i="1"/>
  <c r="I60" i="1" a="1"/>
  <c r="I60" i="1" s="1"/>
  <c r="H60" i="1"/>
  <c r="I76" i="1" a="1"/>
  <c r="I76" i="1" s="1"/>
  <c r="H76" i="1"/>
  <c r="I92" i="1" a="1"/>
  <c r="I92" i="1" s="1"/>
  <c r="H92" i="1"/>
  <c r="I108" i="1" a="1"/>
  <c r="I108" i="1" s="1"/>
  <c r="H108" i="1"/>
  <c r="I13" i="1" a="1"/>
  <c r="I13" i="1" s="1"/>
  <c r="H13" i="1"/>
  <c r="I29" i="1" a="1"/>
  <c r="I29" i="1" s="1"/>
  <c r="H29" i="1"/>
  <c r="I45" i="1" a="1"/>
  <c r="I45" i="1" s="1"/>
  <c r="H45" i="1"/>
  <c r="I61" i="1" a="1"/>
  <c r="I61" i="1" s="1"/>
  <c r="H61" i="1"/>
  <c r="I77" i="1" a="1"/>
  <c r="I77" i="1" s="1"/>
  <c r="H77" i="1"/>
  <c r="I93" i="1" a="1"/>
  <c r="I93" i="1" s="1"/>
  <c r="H93" i="1"/>
  <c r="I109" i="1" a="1"/>
  <c r="I109" i="1" s="1"/>
  <c r="H109" i="1"/>
  <c r="I10" i="1" a="1"/>
  <c r="I10" i="1" s="1"/>
  <c r="H10" i="1"/>
  <c r="I26" i="1" a="1"/>
  <c r="I26" i="1" s="1"/>
  <c r="H26" i="1"/>
  <c r="I42" i="1" a="1"/>
  <c r="I42" i="1" s="1"/>
  <c r="H42" i="1"/>
  <c r="I58" i="1" a="1"/>
  <c r="I58" i="1" s="1"/>
  <c r="H58" i="1"/>
  <c r="I74" i="1" a="1"/>
  <c r="I74" i="1" s="1"/>
  <c r="H74" i="1"/>
  <c r="I90" i="1" a="1"/>
  <c r="I90" i="1" s="1"/>
  <c r="H90" i="1"/>
  <c r="I106" i="1" a="1"/>
  <c r="I106" i="1" s="1"/>
  <c r="H106"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<sst xmlns="http://schemas.openxmlformats.org/spreadsheetml/2006/main" count="2796" uniqueCount="370">
  <si>
    <t>Product</t>
  </si>
  <si>
    <t>Current price</t>
  </si>
  <si>
    <t>old price</t>
  </si>
  <si>
    <t>Discount</t>
  </si>
  <si>
    <t>Review</t>
  </si>
  <si>
    <t>Rating</t>
  </si>
  <si>
    <t>115  Piece Set Of Multifunctional Precision Screwdrivers</t>
  </si>
  <si>
    <t>KSh 950</t>
  </si>
  <si>
    <t>KSh 1,525</t>
  </si>
  <si>
    <t>4.5 out of 5</t>
  </si>
  <si>
    <t>Metal Decorative Hooks Key Hangers Entryway Wall Hooks Towel Hooks - Home</t>
  </si>
  <si>
    <t>KSh 527</t>
  </si>
  <si>
    <t>KSh 999</t>
  </si>
  <si>
    <t>4.1 out of 5</t>
  </si>
  <si>
    <t>Portable Mini Cordless Car Vacuum Cleaner - Blue</t>
  </si>
  <si>
    <t>KSh 2,199</t>
  </si>
  <si>
    <t>KSh 2,923</t>
  </si>
  <si>
    <t>4.6 out of 5</t>
  </si>
  <si>
    <t>Weighing Scale Digital Bathroom Body Fat Scale USB-Black</t>
  </si>
  <si>
    <t>KSh 1,580</t>
  </si>
  <si>
    <t>KSh 2,499</t>
  </si>
  <si>
    <t>4.7 out of 5</t>
  </si>
  <si>
    <t>Portable Home Small Air Humidifier 3-Speed Fan - Green</t>
  </si>
  <si>
    <t>KSh 1,740</t>
  </si>
  <si>
    <t>KSh 2,356</t>
  </si>
  <si>
    <t>4.8 out of 5</t>
  </si>
  <si>
    <t>220V 60W Electric Soldering Iron Kits With Tools, Tips, And Multimeter</t>
  </si>
  <si>
    <t>KSh 2,999</t>
  </si>
  <si>
    <t>KSh 3,290</t>
  </si>
  <si>
    <t>4 out of 5</t>
  </si>
  <si>
    <t>137 Pieces Cake Decorating Tool Set Baking Supplies</t>
  </si>
  <si>
    <t>KSh 2,319</t>
  </si>
  <si>
    <t>KSh 3,032</t>
  </si>
  <si>
    <t>Desk Foldable Fan Adjustable Fan Strong Wind 3 Gear Usb</t>
  </si>
  <si>
    <t>KSh 988</t>
  </si>
  <si>
    <t>LASA FOLDING TABLE SERVING STAND</t>
  </si>
  <si>
    <t>KSh 1,274</t>
  </si>
  <si>
    <t>KSh 2,800</t>
  </si>
  <si>
    <t>13 In 1 Home Repair Tools Box Kit Set</t>
  </si>
  <si>
    <t>KSh 1,600</t>
  </si>
  <si>
    <t>KSh 2,929</t>
  </si>
  <si>
    <t>3.8 out of 5</t>
  </si>
  <si>
    <t>Genebre 115 In 1 Screwdriver Repairing Tool Set For IPhone Cellphone Hand Tool</t>
  </si>
  <si>
    <t>KSh 799</t>
  </si>
  <si>
    <t>100 Pcs Crochet Hook Tool Set Knitting Hook Set With Box</t>
  </si>
  <si>
    <t>KSh 990</t>
  </si>
  <si>
    <t>KSh 1,500</t>
  </si>
  <si>
    <t>40cm Gold DIY Acrylic Wall Sticker Clock</t>
  </si>
  <si>
    <t>KSh 552</t>
  </si>
  <si>
    <t>KSh 1,035</t>
  </si>
  <si>
    <t>LASA Digital Thermometer And Hydrometer</t>
  </si>
  <si>
    <t>KSh 501</t>
  </si>
  <si>
    <t>KSh 860</t>
  </si>
  <si>
    <t>Multifunction Laser Level With Adjustment Tripod</t>
  </si>
  <si>
    <t>KSh 1,680</t>
  </si>
  <si>
    <t>4.2 out of 5</t>
  </si>
  <si>
    <t>Anti-Skid Absorbent Insulation Coaster  For Home Office</t>
  </si>
  <si>
    <t>KSh 332</t>
  </si>
  <si>
    <t>KSh 684</t>
  </si>
  <si>
    <t>5 out of 5</t>
  </si>
  <si>
    <t>Peacock  Throw Pillow Cushion Case For Home Car</t>
  </si>
  <si>
    <t>KSh 195</t>
  </si>
  <si>
    <t>KSh 360</t>
  </si>
  <si>
    <t>LASA Aluminum Folding Truck Hand Cart - 68kg Max</t>
  </si>
  <si>
    <t>KSh 2,025</t>
  </si>
  <si>
    <t>KSh 3,971</t>
  </si>
  <si>
    <t>LED Wall Digital Alarm Clock Study Home 12 / 24H Clock Calendar</t>
  </si>
  <si>
    <t>KSh 3,699</t>
  </si>
  <si>
    <t>3D Waterproof EVA Plastic Shower Curtain 1.8*2Mtrs</t>
  </si>
  <si>
    <t>KSh 998</t>
  </si>
  <si>
    <t>KSh 1,966</t>
  </si>
  <si>
    <t>3PCS Single Head Knitting Crochet Sweater Needle Set</t>
  </si>
  <si>
    <t>KSh 38</t>
  </si>
  <si>
    <t>KSh 80</t>
  </si>
  <si>
    <t>3.3 out of 5</t>
  </si>
  <si>
    <t>4pcs Bathroom/Kitchen Towel Rack,Roll Paper Holder,Towel Bars,Hook</t>
  </si>
  <si>
    <t>KSh 1,860</t>
  </si>
  <si>
    <t>KSh 3,220</t>
  </si>
  <si>
    <t>LED Romantic Spaceship Starry Sky Projector,Children's Bedroom Night Light-Blue</t>
  </si>
  <si>
    <t>KSh 880</t>
  </si>
  <si>
    <t>KSh 1,350</t>
  </si>
  <si>
    <t>Foldable Overbed Table/Desk</t>
  </si>
  <si>
    <t>KSh 1,650</t>
  </si>
  <si>
    <t>KSh 2,150</t>
  </si>
  <si>
    <t>4.4 out of 5</t>
  </si>
  <si>
    <t>LASA 3 Tier Bamboo Shoe Bench Storage Shelf</t>
  </si>
  <si>
    <t>KSh 2,048</t>
  </si>
  <si>
    <t>KSh 4,500</t>
  </si>
  <si>
    <t>4.3 out of 5</t>
  </si>
  <si>
    <t>Electronic Digital Display Vernier Caliper</t>
  </si>
  <si>
    <t>KSh 420</t>
  </si>
  <si>
    <t>KSh 647</t>
  </si>
  <si>
    <t>Portable Wardrobe Nonwoven With 3 Hanging Rods And 6 Storage Shelves</t>
  </si>
  <si>
    <t>KSh 2,880</t>
  </si>
  <si>
    <t>KSh 3,520</t>
  </si>
  <si>
    <t>12 Litre Black Insulated Lunch Box</t>
  </si>
  <si>
    <t>KSh 1,990</t>
  </si>
  <si>
    <t>52 Pieces Cake Decorating Tool Set Gift Kit Baking Supplies</t>
  </si>
  <si>
    <t>KSh 1,758</t>
  </si>
  <si>
    <t>MultiFunctional Storage Rack Multi-layer Bookshelf</t>
  </si>
  <si>
    <t>KSh 2,200</t>
  </si>
  <si>
    <t>KSh 4,080</t>
  </si>
  <si>
    <t>Exfoliate And Exfoliate Face Towel - Black</t>
  </si>
  <si>
    <t>KSh 185</t>
  </si>
  <si>
    <t>KSh 382</t>
  </si>
  <si>
    <t>12 Litre Insulated Lunch Box Grey</t>
  </si>
  <si>
    <t>KSh 980</t>
  </si>
  <si>
    <t>KSh 1,490</t>
  </si>
  <si>
    <t>LED Eye Protection  Desk Lamp , Study, Reading, USB Fan - Double Pen Holder</t>
  </si>
  <si>
    <t>KSh 1,820</t>
  </si>
  <si>
    <t>KSh 3,490</t>
  </si>
  <si>
    <t>53Pcs/Set Yarn Knitting Crochet Hooks With Bag - Fortune Cat</t>
  </si>
  <si>
    <t>KSh 1,940</t>
  </si>
  <si>
    <t>KSh 2,650</t>
  </si>
  <si>
    <t>53 Pieces/Set Yarn Knitting Crochet Hooks With Bag - Pansies</t>
  </si>
  <si>
    <t>KSh 1,980</t>
  </si>
  <si>
    <t>KSh 2,699</t>
  </si>
  <si>
    <t>DIY File Folder, Office Drawer File Holder, Pen Holder, Desktop Storage Rack</t>
  </si>
  <si>
    <t>KSh 1,620</t>
  </si>
  <si>
    <t>KSh 2,690</t>
  </si>
  <si>
    <t>Classic Black Cat Cotton Hemp Pillow Case For Home Car</t>
  </si>
  <si>
    <t>KSh 171</t>
  </si>
  <si>
    <t>Punch-free Great Load Bearing Bathroom Storage Rack Wall Shelf-White</t>
  </si>
  <si>
    <t>KSh 389</t>
  </si>
  <si>
    <t>KSh 656</t>
  </si>
  <si>
    <t>1/2/3 Seater Elastic Sofa Cover,Living Room/Home Decor Chair Cover-Grey</t>
  </si>
  <si>
    <t>KSh 1,620 - KSh 1,980</t>
  </si>
  <si>
    <t>KSh 2,200 - KSh 3,200</t>
  </si>
  <si>
    <t>LASA Stainless Steel Double Wall Mount Soap Dispenser - 500ml</t>
  </si>
  <si>
    <t>KSh 2,750</t>
  </si>
  <si>
    <t>KSh 4,471</t>
  </si>
  <si>
    <t>4M Float Switch Water Level Controller -Water Tank</t>
  </si>
  <si>
    <t>KSh 475</t>
  </si>
  <si>
    <t>KSh 931</t>
  </si>
  <si>
    <t>Modern Sofa Throw Pillow Cover-45x45cm-Blue&amp;Red</t>
  </si>
  <si>
    <t>KSh 238</t>
  </si>
  <si>
    <t>KSh 476</t>
  </si>
  <si>
    <t>Balloon Insert, Birthday Party Balloon Set, PU Leather</t>
  </si>
  <si>
    <t>KSh 610</t>
  </si>
  <si>
    <t>KSh 1,060</t>
  </si>
  <si>
    <t>Shower Cap Wide Elastic Band Cover Reusable Bashroom Cap</t>
  </si>
  <si>
    <t>KSh 2,132</t>
  </si>
  <si>
    <t>KSh 2,169</t>
  </si>
  <si>
    <t>Christmas Elk Fence Yard Lawn Decorations Cute For Holidays</t>
  </si>
  <si>
    <t>KSh 2,000</t>
  </si>
  <si>
    <t>60W Hot Melt Glue Sprayer - Efficient And Stable Glue Dispensing</t>
  </si>
  <si>
    <t>KSh 1,190</t>
  </si>
  <si>
    <t>KSh 1,785</t>
  </si>
  <si>
    <t>Car Phone Charging Stand</t>
  </si>
  <si>
    <t>KSh 671</t>
  </si>
  <si>
    <t>KSh 1,316</t>
  </si>
  <si>
    <t>2pcs Solar Street Light Flood Light Outdoor</t>
  </si>
  <si>
    <t>KSh 1,200</t>
  </si>
  <si>
    <t>KSh 1,950</t>
  </si>
  <si>
    <t>Creative Owl Shape Keychain Black</t>
  </si>
  <si>
    <t>KSh 199</t>
  </si>
  <si>
    <t>KSh 504</t>
  </si>
  <si>
    <t>Brush &amp; Paintbrush Cleaning Tool Pink</t>
  </si>
  <si>
    <t>KSh 299</t>
  </si>
  <si>
    <t>KSh 600</t>
  </si>
  <si>
    <t>Pen Grips For Kids Pen Grip Posture Correction Tool For Kids</t>
  </si>
  <si>
    <t>KSh 1,660</t>
  </si>
  <si>
    <t>KSh 1,699</t>
  </si>
  <si>
    <t>Pilates Cloth Bag Waterproof Durable High Capacity Purple</t>
  </si>
  <si>
    <t>KSh 384</t>
  </si>
  <si>
    <t>Multi-purpose Rice Drainage Basket And Fruit And Vegetable Drainage Sieve</t>
  </si>
  <si>
    <t>KSh 1,459</t>
  </si>
  <si>
    <t>KSh 1,499</t>
  </si>
  <si>
    <t>Cute Christmas Fence Garden Decorations For Holiday Home</t>
  </si>
  <si>
    <t>KSh 1,343</t>
  </si>
  <si>
    <t>Simple Metal Dog Art Sculpture Decoration For Home Office</t>
  </si>
  <si>
    <t>KSh 499</t>
  </si>
  <si>
    <t>KSh 900</t>
  </si>
  <si>
    <t>Christmas Fence Garden Decorations Outdoor For Holiday Home</t>
  </si>
  <si>
    <t>KSh 699</t>
  </si>
  <si>
    <t>Angle Measuring Tool Full Metal Multi Angle Measuring Tool</t>
  </si>
  <si>
    <t>KSh 1,567</t>
  </si>
  <si>
    <t>12V 19500rpm Handheld Electric Angle Grinder Tool - UK - Yellow/Black</t>
  </si>
  <si>
    <t>KSh 2,799</t>
  </si>
  <si>
    <t>KSh 3,810</t>
  </si>
  <si>
    <t>KSh 399</t>
  </si>
  <si>
    <t>KSh 896</t>
  </si>
  <si>
    <t>5 Pieces/set Of Stainless Steel Induction Cooker Pots</t>
  </si>
  <si>
    <t>KSh 2,170</t>
  </si>
  <si>
    <t>KSh 2,500</t>
  </si>
  <si>
    <t>2.5 out of 5</t>
  </si>
  <si>
    <t>Mythco 120COB Solar Wall Ligt With Motion Sensor And Remote Control 3 Modes</t>
  </si>
  <si>
    <t>KSh 458</t>
  </si>
  <si>
    <t>KSh 986</t>
  </si>
  <si>
    <t>3 out of 5</t>
  </si>
  <si>
    <t>5-PCS Stainless Steel Cooking Pot Set With Steamed Slices</t>
  </si>
  <si>
    <t>KSh 2,115</t>
  </si>
  <si>
    <t>KSh 4,700</t>
  </si>
  <si>
    <t>2.1 out of 5</t>
  </si>
  <si>
    <t>120W Cordless Vacuum Cleaners Handheld Electric Vacuum Cleaner</t>
  </si>
  <si>
    <t>KSh 445</t>
  </si>
  <si>
    <t>KSh 873</t>
  </si>
  <si>
    <t>2.8 out of 5</t>
  </si>
  <si>
    <t>Intelligent  LED Body Sensor Wireless Lighting Night Light USB</t>
  </si>
  <si>
    <t>KSh 325</t>
  </si>
  <si>
    <t>KSh 680</t>
  </si>
  <si>
    <t>2.7 out of 5</t>
  </si>
  <si>
    <t>VIC Wireless Vacuum Cleaner Dual Use For Home And Car 120W High Power Powerful</t>
  </si>
  <si>
    <t>KSh 1,220</t>
  </si>
  <si>
    <t>KSh 1,555</t>
  </si>
  <si>
    <t>2.9 out of 5</t>
  </si>
  <si>
    <t>Artificial Potted Flowers Room Decorative Flowers (2 Pieces)</t>
  </si>
  <si>
    <t>KSh 1,814</t>
  </si>
  <si>
    <t>2.2 out of 5</t>
  </si>
  <si>
    <t>380ML USB Rechargeable Portable Small Blenders And Juicers</t>
  </si>
  <si>
    <t>KSh 1,000</t>
  </si>
  <si>
    <t>2.3 out of 5</t>
  </si>
  <si>
    <t>32PCS Portable Cordless Drill Set With Cyclic Battery Drive -26 Variable Speed</t>
  </si>
  <si>
    <t>KSh 3,750</t>
  </si>
  <si>
    <t>KSh 6,143</t>
  </si>
  <si>
    <t>Agapeon Toothbrush Holder And Toothpaste Dispenser</t>
  </si>
  <si>
    <t>KSh 700</t>
  </si>
  <si>
    <t>2.6 out of 5</t>
  </si>
  <si>
    <t>Large Lazy Inflatable Sofa Chairs PVC Lounger Seat Bag</t>
  </si>
  <si>
    <t>KSh 2,300</t>
  </si>
  <si>
    <t>KSh 3,240</t>
  </si>
  <si>
    <t>Watercolour Gold Foil Textured Print Pillow Cover</t>
  </si>
  <si>
    <t>KSh 345</t>
  </si>
  <si>
    <t>KSh 602</t>
  </si>
  <si>
    <t>Wrought Iron Bathroom Shelf Wall Mounted Free Punch Toilet Rack</t>
  </si>
  <si>
    <t>KSh 509</t>
  </si>
  <si>
    <t>KSh 899</t>
  </si>
  <si>
    <t>7-piece Set Of Storage Bags, Travel Storage Bags, Shoe Bags</t>
  </si>
  <si>
    <t>KSh 968</t>
  </si>
  <si>
    <t>Electric LED UV Mosquito Killer Lamp, Outdoor/Indoor Fly Killer Trap Light -USB</t>
  </si>
  <si>
    <t>KSh 1,570</t>
  </si>
  <si>
    <t>KSh 2,988</t>
  </si>
  <si>
    <t>2PCS/LOT Solar LED Outdoor Intelligent Light Controlled Wall Lamp</t>
  </si>
  <si>
    <t>KSh 790</t>
  </si>
  <si>
    <t>KSh 1,485</t>
  </si>
  <si>
    <t>3PCS Rotary Scraper Thermomix For Kitchen</t>
  </si>
  <si>
    <t>KSh 690</t>
  </si>
  <si>
    <t>Cushion Silicone Butt Cushion Summer Ice Cushion Honeycomb Gel Cushion</t>
  </si>
  <si>
    <t>KSh 1,732</t>
  </si>
  <si>
    <t>KSh 1,799</t>
  </si>
  <si>
    <t>7PCS Silicone Thumb Knife Finger Protector Vegetable Harvesting Knife</t>
  </si>
  <si>
    <t>KSh 230</t>
  </si>
  <si>
    <t>KSh 450</t>
  </si>
  <si>
    <t>Memory Foam Neck Pillow Cover, With Pillow Core - 50*30cm</t>
  </si>
  <si>
    <t>KSh 1,189</t>
  </si>
  <si>
    <t>Bedroom Simple Floor Hanging Clothes Rack Single Pole Hat Rack - White</t>
  </si>
  <si>
    <t>KSh 979</t>
  </si>
  <si>
    <t>KSh 1,920</t>
  </si>
  <si>
    <t>5m Waterproof Spherical LED String Lights Outdoor Ball Chain Lights Party Lighting Decoration Adjustable</t>
  </si>
  <si>
    <t>KSh 1,460</t>
  </si>
  <si>
    <t>KSh 2,290</t>
  </si>
  <si>
    <t>2 Pairs Cowhide Split Leather Work Gloves.32â„‰ Or Above Welding Gloves</t>
  </si>
  <si>
    <t>KSh 1,666</t>
  </si>
  <si>
    <t>Household Pineapple Peeler Peeler</t>
  </si>
  <si>
    <t>KSh 330</t>
  </si>
  <si>
    <t>KSh 176</t>
  </si>
  <si>
    <t>Office Chair Lumbar Back Support Spine Posture Correction Pillow Car Cushion</t>
  </si>
  <si>
    <t>KSh 1,466</t>
  </si>
  <si>
    <t>Cartoon Car Decoration Cute Individuality For Car Home Desk</t>
  </si>
  <si>
    <t>KSh 274</t>
  </si>
  <si>
    <t>KSh 537</t>
  </si>
  <si>
    <t>Outdoor Portable Water Bottle With Medicine Box - 600ML - Black</t>
  </si>
  <si>
    <t>KSh 657</t>
  </si>
  <si>
    <t>KSh 1,288</t>
  </si>
  <si>
    <t>Wall-Mounted Toothbrush Toothpaste Holder With Multiple Slots</t>
  </si>
  <si>
    <t>KSh 1,468</t>
  </si>
  <si>
    <t>Multifunctional Hanging Storage Box Storage Bag (4 Layers)</t>
  </si>
  <si>
    <t>KSh 630</t>
  </si>
  <si>
    <t>KSh 1,100</t>
  </si>
  <si>
    <t>Wall Clock With Hidden Safe Box</t>
  </si>
  <si>
    <t>KSh 850</t>
  </si>
  <si>
    <t>KSh 1,700</t>
  </si>
  <si>
    <t>Portable Wine Table With Folding Round Table</t>
  </si>
  <si>
    <t>KSh 1,300</t>
  </si>
  <si>
    <t>Sewing Machine Needle Threader Stitch Insertion Tool Automatic Quick Sewing</t>
  </si>
  <si>
    <t>KSh 105</t>
  </si>
  <si>
    <t>KSh 200</t>
  </si>
  <si>
    <t>6 Layers Steel Pipe Assembling Dustproof Storage Shoe Cabinet</t>
  </si>
  <si>
    <t>2PCS Ice Silk Square Cushion Cover Pillowcases - 65x65cm</t>
  </si>
  <si>
    <t>KSh 2,400</t>
  </si>
  <si>
    <t>Wall Mount Automatic Toothpaste Dispenser Toothbrush Holder Toothpaste Squeezer</t>
  </si>
  <si>
    <t>KSh 1,526</t>
  </si>
  <si>
    <t>Portable Soap Dispenser Kitchen Detergent Press Box Kitchen Tools</t>
  </si>
  <si>
    <t>KSh 1,462</t>
  </si>
  <si>
    <t>4 Piece Coloured Stainless Steel Kitchenware Set</t>
  </si>
  <si>
    <t>KSh 248</t>
  </si>
  <si>
    <t>KSh 486</t>
  </si>
  <si>
    <t>Metal Wall Clock Silver Dial Crystal Jewelry Round Home Decoration Wall Clock</t>
  </si>
  <si>
    <t>KSh 3,546</t>
  </si>
  <si>
    <t>Baby Early Education Shape And Color Cognitive Training Toys</t>
  </si>
  <si>
    <t>KSh 525</t>
  </si>
  <si>
    <t>KSh 1,029</t>
  </si>
  <si>
    <t>8in1 Screwdriver With LED Light</t>
  </si>
  <si>
    <t>KSh 1,080</t>
  </si>
  <si>
    <t>KSh 1,874</t>
  </si>
  <si>
    <t>Konka Healty Electric Kettle, 24-hour Heat Preservation,1.5L,800W, White</t>
  </si>
  <si>
    <t>KSh 3,640</t>
  </si>
  <si>
    <t>KSh 4,588</t>
  </si>
  <si>
    <t>9pcs Gas Mask, For Painting, Dust, Formaldehyde Grinding, Polishing</t>
  </si>
  <si>
    <t>KSh 1,420</t>
  </si>
  <si>
    <t>KSh 2,420</t>
  </si>
  <si>
    <t>24 Grid Wall-mounted Sundries Organiser Fabric Closet Bag Storage Rack</t>
  </si>
  <si>
    <t>KSh 1,875</t>
  </si>
  <si>
    <t>KSh 1,899</t>
  </si>
  <si>
    <t>1PC Refrigerator Food Seal Pocket Fridge Bags</t>
  </si>
  <si>
    <t>KSh 198</t>
  </si>
  <si>
    <t>KSh 260</t>
  </si>
  <si>
    <t>LED Solar Street Light-fake Camera</t>
  </si>
  <si>
    <t>KSh 1,150</t>
  </si>
  <si>
    <t>KSh 1,737</t>
  </si>
  <si>
    <t>Cartoon Embroidered Mini Towel Bear Cotton Wash Cloth Hand 4pcs</t>
  </si>
  <si>
    <t>KSh 1,810</t>
  </si>
  <si>
    <t>Shower Nozzle Cleaning Unclogging Needle Mini Crevice Small Hole Cleaning Brush</t>
  </si>
  <si>
    <t>KSh 1,658</t>
  </si>
  <si>
    <t>Thickening Multipurpose Non Stick Easy To Clean Heat Resistant Spoon Pad</t>
  </si>
  <si>
    <t>KSh 1,768</t>
  </si>
  <si>
    <t>6 In 1 Bottle Can Opener Multifunctional Easy Opener</t>
  </si>
  <si>
    <t>KSh 553</t>
  </si>
  <si>
    <t>Wall-mounted Sticker Punch-free Plug Fixer</t>
  </si>
  <si>
    <t>2 out of 5</t>
  </si>
  <si>
    <t>Black Simple Water Cup Wine Coaster Anti Slip Absorbent</t>
  </si>
  <si>
    <t>KSh 169</t>
  </si>
  <si>
    <t>KSh 320</t>
  </si>
  <si>
    <t>KSh 1,800</t>
  </si>
  <si>
    <t>KSh 2,700</t>
  </si>
  <si>
    <t>Not Provided</t>
  </si>
  <si>
    <t>Current Price</t>
  </si>
  <si>
    <t>Old Price</t>
  </si>
  <si>
    <t>Discount Amout</t>
  </si>
  <si>
    <t>Rating Category</t>
  </si>
  <si>
    <t>IFS</t>
  </si>
  <si>
    <t>Discount Category</t>
  </si>
  <si>
    <t xml:space="preserve">Review </t>
  </si>
  <si>
    <t>Step-by-step
Select the column where you want to find duplicates
(e.g. the Product column)
Go to the Home tab
Click Conditional Formatting
Choose Highlight Cells Rules
Click Duplicate Values…
In the dialog box:
Leave Duplicate selected
Choose a highlight color (e.g. light red)
Click OK</t>
  </si>
  <si>
    <t>✅ METHOD 2: Using a formula (advanced / optional)
This is useful if you want more control.
Formula method
Assume data starts in A2:
Select the column (e.g. A2:A200)
Go to Conditional Formatting → New Rule
Choose Use a formula to determine which cells to format
Enter:
=COUNTIF($A:$A,A2)&gt;1
Choose a fill color
Click OK</t>
  </si>
  <si>
    <t>IF</t>
  </si>
  <si>
    <t>Row Labels</t>
  </si>
  <si>
    <t>Grand Total</t>
  </si>
  <si>
    <t>Discount(%)</t>
  </si>
  <si>
    <t>High Discount</t>
  </si>
  <si>
    <t>cp</t>
  </si>
  <si>
    <t>op</t>
  </si>
  <si>
    <t>re</t>
  </si>
  <si>
    <t>ra</t>
  </si>
  <si>
    <t>Average of Current Price</t>
  </si>
  <si>
    <t>Average of Old Price</t>
  </si>
  <si>
    <t>Average of Discount(%)</t>
  </si>
  <si>
    <t>Average of Rating</t>
  </si>
  <si>
    <t>Max of Current Price</t>
  </si>
  <si>
    <t>Poor</t>
  </si>
  <si>
    <t>Count of Product</t>
  </si>
  <si>
    <t>The scatter plot indicates a weak positive association between discount percentage and the number of reviews. </t>
  </si>
  <si>
    <t>Some products with higher discounts receive more reviews, whereas the majority of products—regardless of discount level—have relatively low review counts.</t>
  </si>
  <si>
    <t>Increasing discounts may have a slight increase in engagement, as the upward trendline demonstrates.</t>
  </si>
  <si>
    <t>However, data points are scattered widely enough for one to conclude that discounts by themselves have little effect on the number of reviews. </t>
  </si>
  <si>
    <t>There might be other categories which factor much more heavily into customer engagement.</t>
  </si>
  <si>
    <t>The scatter plot shows a weak relationship between product rating and number of reviews, though some highly rated products get a lot of reviews and still others have very few reviews, while lower-rated products have high review counts.</t>
  </si>
  <si>
    <t xml:space="preserve">This means product rating on its own has only weak impacts on customer interaction. </t>
  </si>
  <si>
    <t>More so than rating alone, perhaps you would expect more of the number of reviews to be affected by other factors.</t>
  </si>
  <si>
    <t xml:space="preserve">Sum of Review </t>
  </si>
  <si>
    <t xml:space="preserve">Average of Review </t>
  </si>
  <si>
    <t>Sum of Rating</t>
  </si>
  <si>
    <t>Total Products</t>
  </si>
  <si>
    <t>Average Rating</t>
  </si>
  <si>
    <t>Average Discount(%)</t>
  </si>
  <si>
    <t>Total Reviews</t>
  </si>
  <si>
    <t>Average</t>
  </si>
  <si>
    <t>Excellent</t>
  </si>
  <si>
    <t>Low Discount</t>
  </si>
  <si>
    <t>Medium Discount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</si>
</sst>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Ksh-441]\ #,##0.00"/>
  </numFmts>
  <fonts count="22"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1"/>
      <color rgb="FFFF0000"/>
      <name val="Aptos Narrow"/>
      <family val="2"/>
      <scheme val="minor"/>
    </font>
    <font>
      <b/>
      <sz val="11"/>
      <color rgb="FF00B050"/>
      <name val="Aptos Narrow"/>
      <family val="2"/>
      <scheme val="minor"/>
    </font>
    <font>
      <sz val="11"/>
      <color theme="1"/>
      <name val="Arial"/>
      <family val="2"/>
    </font>
    <font>
      <sz val="11"/>
      <color theme="1"/>
      <name val="Agency FB"/>
      <family val="2"/>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70C0"/>
        <bgColor indexed="64"/>
      </patternFill>
    </fill>
    <fill>
      <patternFill patternType="solid">
        <fgColor rgb="FFFFFF00"/>
        <bgColor indexed="64"/>
      </patternFill>
    </fill>
    <fill>
      <patternFill patternType="solid">
        <fgColor theme="2"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3">
    <xf numFmtId="0" fontId="0" fillId="0" borderId="0" xfId="0"/>
    <xf numFmtId="9" fontId="0" fillId="0" borderId="0" xfId="0" applyNumberFormat="1"/>
    <xf numFmtId="0" fontId="18" fillId="0" borderId="0" xfId="0" applyFont="1"/>
    <xf numFmtId="164" fontId="0" fillId="0" borderId="0" xfId="0" applyNumberFormat="1"/>
    <xf numFmtId="10" fontId="0" fillId="0" borderId="0" xfId="0" applyNumberFormat="1"/>
    <xf numFmtId="2" fontId="0" fillId="0" borderId="0" xfId="0" applyNumberFormat="1"/>
    <xf numFmtId="164" fontId="19" fillId="0" borderId="0" xfId="0" applyNumberFormat="1" applyFont="1"/>
    <xf numFmtId="10" fontId="19" fillId="0" borderId="0" xfId="0" applyNumberFormat="1" applyFont="1"/>
    <xf numFmtId="0" fontId="19" fillId="0" borderId="0" xfId="0" applyFont="1"/>
    <xf numFmtId="2" fontId="19" fillId="0" borderId="0" xfId="0" applyNumberFormat="1" applyFont="1"/>
    <xf numFmtId="0" fontId="18" fillId="33" borderId="0" xfId="0" applyFont="1" applyFill="1"/>
    <xf numFmtId="0" fontId="0" fillId="33" borderId="0" xfId="0" applyFill="1"/>
    <xf numFmtId="0" fontId="0" fillId="0" borderId="0" xfId="0" applyAlignment="1">
      <alignment wrapText="1"/>
    </xf>
    <xf numFmtId="0" fontId="16" fillId="0" borderId="0" xfId="0" applyFont="1"/>
    <xf numFmtId="0" fontId="0" fillId="34" borderId="0" xfId="0" applyFill="1"/>
    <xf numFmtId="0" fontId="0" fillId="0" borderId="0" xfId="0" pivotButton="1"/>
    <xf numFmtId="0" fontId="0" fillId="0" borderId="0" xfId="0" applyAlignment="1">
      <alignment horizontal="left"/>
    </xf>
    <xf numFmtId="10" fontId="18" fillId="0" borderId="0" xfId="0" applyNumberFormat="1" applyFont="1"/>
    <xf numFmtId="0" fontId="20" fillId="0" borderId="0" xfId="0" applyFont="1"/>
    <xf numFmtId="1" fontId="0" fillId="0" borderId="0" xfId="0" applyNumberFormat="1"/>
    <xf numFmtId="0" fontId="0" fillId="35" borderId="0" xfId="0" applyFill="1"/>
    <xf numFmtId="0" fontId="0" fillId="0" borderId="0" xfId="0" applyNumberFormat="1"/>
    <xf numFmtId="0" fontId="21" fillId="35" borderId="0" xfId="0"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0">
    <dxf>
      <numFmt numFmtId="1" formatCode="0"/>
    </dxf>
    <dxf>
      <numFmt numFmtId="2" formatCode="0.00"/>
    </dxf>
    <dxf>
      <numFmt numFmtId="1" formatCode="0"/>
    </dxf>
    <dxf>
      <numFmt numFmtId="1" formatCode="0"/>
    </dxf>
    <dxf>
      <numFmt numFmtId="2" formatCode="0.00"/>
    </dxf>
    <dxf>
      <numFmt numFmtId="1" formatCode="0"/>
    </dxf>
    <dxf>
      <font>
        <color rgb="FF9C0006"/>
      </font>
      <fill>
        <patternFill>
          <bgColor rgb="FFFFC7CE"/>
        </patternFill>
      </fill>
    </dxf>
    <dxf>
      <numFmt numFmtId="1" formatCode="0"/>
    </dxf>
    <dxf>
      <numFmt numFmtId="2" formatCode="0.00"/>
    </dxf>
    <dxf>
      <numFmt numFmtId="1" formatCode="0"/>
    </dxf>
  </dxfs>
  <tableStyles count="0" defaultTableStyle="TableStyleMedium2" defaultPivotStyle="PivotStyleLight16"/>
  <colors>
    <mruColors>
      <color rgb="FFE7662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1.xml"/><Relationship Id="rId26" Type="http://schemas.openxmlformats.org/officeDocument/2006/relationships/sheetMetadata" Target="metadata.xml"/><Relationship Id="rId3" Type="http://schemas.openxmlformats.org/officeDocument/2006/relationships/worksheet" Target="worksheets/sheet3.xml"/><Relationship Id="rId21" Type="http://schemas.microsoft.com/office/2007/relationships/slicerCache" Target="slicerCaches/slicerCache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microsoft.com/office/2007/relationships/slicerCache" Target="slicerCaches/slicerCache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4.xml"/><Relationship Id="rId27"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[Excel_jumia.xlsx]3c. Prod&amp;Rat!PivotTable4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2">
                    <a:lumMod val="75000"/>
                  </a:schemeClr>
                </a:solidFill>
              </a:rPr>
              <a:t>Top</a:t>
            </a:r>
            <a:r>
              <a:rPr lang="en-US" b="1" baseline="0">
                <a:solidFill>
                  <a:schemeClr val="accent2">
                    <a:lumMod val="75000"/>
                  </a:schemeClr>
                </a:solidFill>
              </a:rPr>
              <a:t> Products by Rating</a:t>
            </a:r>
            <a:endParaRPr lang="en-US" b="1">
              <a:solidFill>
                <a:schemeClr val="accent2">
                  <a:lumMod val="7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'3c. Prod&amp;Rat'!$E$3</c:f>
              <c:strCache>
                <c:ptCount val="1"/>
                <c:pt idx="0">
                  <c:v>Total</c:v>
                </c:pt>
              </c:strCache>
            </c:strRef>
          </c:tx>
          <c:spPr>
            <a:solidFill>
              <a:schemeClr val="accent2">
                <a:lumMod val="75000"/>
              </a:schemeClr>
            </a:solidFill>
            <a:ln>
              <a:noFill/>
            </a:ln>
            <a:effectLst/>
          </c:spPr>
          <c:invertIfNegative val="0"/>
          <c:cat>
            <c:strRef>
              <c:f>'3c. Prod&amp;Rat'!$D$4:$D$11</c:f>
              <c:strCache>
                <c:ptCount val="7"/>
                <c:pt idx="0">
                  <c:v>Anti-Skid Absorbent Insulation Coaster  For Home Office</c:v>
                </c:pt>
                <c:pt idx="1">
                  <c:v>LASA Aluminum Folding Truck Hand Cart - 68kg Max</c:v>
                </c:pt>
                <c:pt idx="2">
                  <c:v>Konka Healty Electric Kettle, 24-hour Heat Preservation,1.5L,800W, White</c:v>
                </c:pt>
                <c:pt idx="3">
                  <c:v>Bedroom Simple Floor Hanging Clothes Rack Single Pole Hat Rack - White</c:v>
                </c:pt>
                <c:pt idx="4">
                  <c:v>Peacock  Throw Pillow Cushion Case For Home Car</c:v>
                </c:pt>
                <c:pt idx="5">
                  <c:v>Classic Black Cat Cotton Hemp Pillow Case For Home Car</c:v>
                </c:pt>
                <c:pt idx="6">
                  <c:v>DIY File Folder, Office Drawer File Holder, Pen Holder, Desktop Storage Rack</c:v>
                </c:pt>
              </c:strCache>
            </c:strRef>
          </c:cat>
          <c:val>
            <c:numRef>
              <c:f>'3c. Prod&amp;Rat'!$E$4:$E$11</c:f>
              <c:numCache>
                <c:formatCode>General</c:formatCode>
                <c:ptCount val="7"/>
                <c:pt idx="0">
                  <c:v>5</c:v>
                </c:pt>
                <c:pt idx="1">
                  <c:v>5</c:v>
                </c:pt>
                <c:pt idx="2">
                  <c:v>5</c:v>
                </c:pt>
                <c:pt idx="3">
                  <c:v>5</c:v>
                </c:pt>
                <c:pt idx="4">
                  <c:v>5</c:v>
                </c:pt>
                <c:pt idx="5">
                  <c:v>5</c:v>
                </c:pt>
                <c:pt idx="6">
                  <c:v>5</c:v>
                </c:pt>
              </c:numCache>
            </c:numRef>
          </c:val>
          <c:extLst>
            <c:ext xmlns:c16="http://schemas.microsoft.com/office/drawing/2014/chart" uri="{C3380CC4-5D6E-409C-BE32-E72D297353CC}">
              <c16:uniqueId val="{00000000-1013-4664-A50E-6F6DFFF85730}"/>
            </c:ext>
          </c:extLst>
        </c:ser>
        <c:dLbls>
          <c:showLegendKey val="0"/>
          <c:showVal val="0"/>
          <c:showCatName val="0"/>
          <c:showSerName val="0"/>
          <c:showPercent val="0"/>
          <c:showBubbleSize val="0"/>
        </c:dLbls>
        <c:gapWidth val="182"/>
        <c:axId val="434668512"/>
        <c:axId val="434671392"/>
      </c:barChart>
      <c:catAx>
        <c:axId val="43466851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Products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gradFill>
              <a:gsLst>
                <a:gs pos="26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txPr>
          <a:bodyPr rot="-60000000" spcFirstLastPara="1" vertOverflow="ellipsis" vert="horz" wrap="square" anchor="ctr" anchorCtr="1"/>
          <a:lstStyle/>
          <a:p>
            <a:pPr>
              <a:defRPr sz="900" b="0" i="0" u="none" strike="noStrike" kern="1200" baseline="0">
                <a:solidFill>
                  <a:schemeClr val="accent2">
                    <a:lumMod val="75000"/>
                  </a:schemeClr>
                </a:solidFill>
                <a:latin typeface="+mn-lt"/>
                <a:ea typeface="+mn-ea"/>
                <a:cs typeface="+mn-cs"/>
              </a:defRPr>
            </a:pPr>
            <a:endParaRPr lang="en-US"/>
          </a:p>
        </c:txPr>
        <c:crossAx val="434671392"/>
        <c:crosses val="autoZero"/>
        <c:auto val="1"/>
        <c:lblAlgn val="ctr"/>
        <c:lblOffset val="100"/>
        <c:noMultiLvlLbl val="0"/>
      </c:catAx>
      <c:valAx>
        <c:axId val="43467139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Rating</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46685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[Excel_jumia.xlsx]Dashboard Pivots!PivotTable8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chemeClr val="accent2">
                    <a:lumMod val="75000"/>
                  </a:schemeClr>
                </a:solidFill>
              </a:rPr>
              <a:t>Distribution of Products by Rating Category</a:t>
            </a:r>
            <a:endParaRPr lang="en-US" b="1">
              <a:solidFill>
                <a:schemeClr val="accent2">
                  <a:lumMod val="7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pivotFmt>
    </c:pivotFmts>
    <c:plotArea>
      <c:layout/>
      <c:doughnutChart>
        <c:varyColors val="1"/>
        <c:ser>
          <c:idx val="0"/>
          <c:order val="0"/>
          <c:tx>
            <c:strRef>
              <c:f>'Dashboard Pivots'!$B$7</c:f>
              <c:strCache>
                <c:ptCount val="1"/>
                <c:pt idx="0">
                  <c:v>Total</c:v>
                </c:pt>
              </c:strCache>
            </c:strRef>
          </c:tx>
          <c:dPt>
            <c:idx val="0"/>
            <c:bubble3D val="0"/>
            <c:spPr>
              <a:solidFill>
                <a:schemeClr val="accent2">
                  <a:shade val="58000"/>
                </a:schemeClr>
              </a:solidFill>
              <a:ln w="19050">
                <a:solidFill>
                  <a:schemeClr val="lt1"/>
                </a:solidFill>
              </a:ln>
              <a:effectLst/>
            </c:spPr>
            <c:extLst>
              <c:ext xmlns:c16="http://schemas.microsoft.com/office/drawing/2014/chart" uri="{C3380CC4-5D6E-409C-BE32-E72D297353CC}">
                <c16:uniqueId val="{00000001-EBE1-49D1-9388-798A278C0D9B}"/>
              </c:ext>
            </c:extLst>
          </c:dPt>
          <c:dPt>
            <c:idx val="1"/>
            <c:bubble3D val="0"/>
            <c:spPr>
              <a:solidFill>
                <a:schemeClr val="accent2">
                  <a:shade val="86000"/>
                </a:schemeClr>
              </a:solidFill>
              <a:ln w="19050">
                <a:solidFill>
                  <a:schemeClr val="lt1"/>
                </a:solidFill>
              </a:ln>
              <a:effectLst/>
            </c:spPr>
          </c:dPt>
          <c:dPt>
            <c:idx val="2"/>
            <c:bubble3D val="0"/>
            <c:spPr>
              <a:solidFill>
                <a:schemeClr val="accent2">
                  <a:tint val="86000"/>
                </a:schemeClr>
              </a:solidFill>
              <a:ln w="19050">
                <a:solidFill>
                  <a:schemeClr val="lt1"/>
                </a:solidFill>
              </a:ln>
              <a:effectLst/>
            </c:spPr>
          </c:dPt>
          <c:dPt>
            <c:idx val="3"/>
            <c:bubble3D val="0"/>
            <c:spPr>
              <a:solidFill>
                <a:schemeClr val="accent2">
                  <a:tint val="58000"/>
                </a:schemeClr>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'Dashboard Pivots'!$A$8:$A$12</c:f>
              <c:strCache>
                <c:ptCount val="4"/>
                <c:pt idx="0">
                  <c:v>Average</c:v>
                </c:pt>
                <c:pt idx="1">
                  <c:v>Excellent</c:v>
                </c:pt>
                <c:pt idx="2">
                  <c:v>Not Provided</c:v>
                </c:pt>
                <c:pt idx="3">
                  <c:v>Poor</c:v>
                </c:pt>
              </c:strCache>
            </c:strRef>
          </c:cat>
          <c:val>
            <c:numRef>
              <c:f>'Dashboard Pivots'!$B$8:$B$12</c:f>
              <c:numCache>
                <c:formatCode>General</c:formatCode>
                <c:ptCount val="4"/>
                <c:pt idx="0">
                  <c:v>22</c:v>
                </c:pt>
                <c:pt idx="1">
                  <c:v>23</c:v>
                </c:pt>
                <c:pt idx="2">
                  <c:v>55</c:v>
                </c:pt>
                <c:pt idx="3">
                  <c:v>12</c:v>
                </c:pt>
              </c:numCache>
            </c:numRef>
          </c:val>
          <c:extLst>
            <c:ext xmlns:c16="http://schemas.microsoft.com/office/drawing/2014/chart" uri="{C3380CC4-5D6E-409C-BE32-E72D297353CC}">
              <c16:uniqueId val="{00000000-4FE5-41A5-B925-66367621BCC8}"/>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[Excel_jumia.xlsx]Dashboard Pivots!PivotTable9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chemeClr val="accent2">
                    <a:lumMod val="75000"/>
                  </a:schemeClr>
                </a:solidFill>
              </a:rPr>
              <a:t>Distribution of Products by Discount Category</a:t>
            </a:r>
            <a:endParaRPr lang="en-US" b="1">
              <a:solidFill>
                <a:schemeClr val="accent2">
                  <a:lumMod val="7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pivotFmt>
    </c:pivotFmts>
    <c:plotArea>
      <c:layout/>
      <c:pieChart>
        <c:varyColors val="1"/>
        <c:ser>
          <c:idx val="0"/>
          <c:order val="0"/>
          <c:tx>
            <c:strRef>
              <c:f>'Dashboard Pivots'!$G$3</c:f>
              <c:strCache>
                <c:ptCount val="1"/>
                <c:pt idx="0">
                  <c:v>Total</c:v>
                </c:pt>
              </c:strCache>
            </c:strRef>
          </c:tx>
          <c:dPt>
            <c:idx val="0"/>
            <c:bubble3D val="0"/>
            <c:spPr>
              <a:solidFill>
                <a:schemeClr val="accent2">
                  <a:shade val="65000"/>
                </a:schemeClr>
              </a:solidFill>
              <a:ln w="19050">
                <a:solidFill>
                  <a:schemeClr val="lt1"/>
                </a:solidFill>
              </a:ln>
              <a:effectLst/>
            </c:spPr>
            <c:extLst>
              <c:ext xmlns:c16="http://schemas.microsoft.com/office/drawing/2014/chart" uri="{C3380CC4-5D6E-409C-BE32-E72D297353CC}">
                <c16:uniqueId val="{00000001-4FF7-4540-8095-25EF302B6B97}"/>
              </c:ext>
            </c:extLst>
          </c:dPt>
          <c:dPt>
            <c:idx val="1"/>
            <c:bubble3D val="0"/>
            <c:spPr>
              <a:solidFill>
                <a:schemeClr val="accent2"/>
              </a:solidFill>
              <a:ln w="19050">
                <a:solidFill>
                  <a:schemeClr val="lt1"/>
                </a:solidFill>
              </a:ln>
              <a:effectLst/>
            </c:spPr>
          </c:dPt>
          <c:dPt>
            <c:idx val="2"/>
            <c:bubble3D val="0"/>
            <c:spPr>
              <a:solidFill>
                <a:schemeClr val="accent2">
                  <a:tint val="65000"/>
                </a:schemeClr>
              </a:solidFill>
              <a:ln w="19050">
                <a:solidFill>
                  <a:schemeClr val="lt1"/>
                </a:solidFill>
              </a:ln>
              <a:effectLst/>
            </c:spPr>
          </c:dPt>
          <c:cat>
            <c:strRef>
              <c:f>'Dashboard Pivots'!$F$4:$F$7</c:f>
              <c:strCache>
                <c:ptCount val="3"/>
                <c:pt idx="0">
                  <c:v>High Discount</c:v>
                </c:pt>
                <c:pt idx="1">
                  <c:v>Low Discount</c:v>
                </c:pt>
                <c:pt idx="2">
                  <c:v>Medium Discount</c:v>
                </c:pt>
              </c:strCache>
            </c:strRef>
          </c:cat>
          <c:val>
            <c:numRef>
              <c:f>'Dashboard Pivots'!$G$4:$G$7</c:f>
              <c:numCache>
                <c:formatCode>General</c:formatCode>
                <c:ptCount val="3"/>
                <c:pt idx="0">
                  <c:v>62</c:v>
                </c:pt>
                <c:pt idx="1">
                  <c:v>18</c:v>
                </c:pt>
                <c:pt idx="2">
                  <c:v>32</c:v>
                </c:pt>
              </c:numCache>
            </c:numRef>
          </c:val>
          <c:extLst>
            <c:ext xmlns:c16="http://schemas.microsoft.com/office/drawing/2014/chart" uri="{C3380CC4-5D6E-409C-BE32-E72D297353CC}">
              <c16:uniqueId val="{00000000-C508-449A-B1C8-47964506E1C2}"/>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[Excel_jumia.xlsx]3c. Prod&amp;Rat!PivotTable4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2">
                    <a:lumMod val="75000"/>
                  </a:schemeClr>
                </a:solidFill>
              </a:rPr>
              <a:t>Top</a:t>
            </a:r>
            <a:r>
              <a:rPr lang="en-US" b="1" baseline="0">
                <a:solidFill>
                  <a:schemeClr val="accent2">
                    <a:lumMod val="75000"/>
                  </a:schemeClr>
                </a:solidFill>
              </a:rPr>
              <a:t> Products by Rating</a:t>
            </a:r>
            <a:endParaRPr lang="en-US" b="1">
              <a:solidFill>
                <a:schemeClr val="accent2">
                  <a:lumMod val="75000"/>
                </a:schemeClr>
              </a:solidFill>
            </a:endParaRPr>
          </a:p>
        </c:rich>
      </c:tx>
      <c:layout>
        <c:manualLayout>
          <c:xMode val="edge"/>
          <c:yMode val="edge"/>
          <c:x val="0.33791816252853452"/>
          <c:y val="8.23126275882181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'3c. Prod&amp;Rat'!$E$3</c:f>
              <c:strCache>
                <c:ptCount val="1"/>
                <c:pt idx="0">
                  <c:v>Total</c:v>
                </c:pt>
              </c:strCache>
            </c:strRef>
          </c:tx>
          <c:spPr>
            <a:solidFill>
              <a:schemeClr val="accent2">
                <a:lumMod val="75000"/>
              </a:schemeClr>
            </a:solidFill>
            <a:ln>
              <a:noFill/>
            </a:ln>
            <a:effectLst/>
          </c:spPr>
          <c:invertIfNegative val="0"/>
          <c:cat>
            <c:strRef>
              <c:f>'3c. Prod&amp;Rat'!$D$4:$D$11</c:f>
              <c:strCache>
                <c:ptCount val="7"/>
                <c:pt idx="0">
                  <c:v>Anti-Skid Absorbent Insulation Coaster  For Home Office</c:v>
                </c:pt>
                <c:pt idx="1">
                  <c:v>LASA Aluminum Folding Truck Hand Cart - 68kg Max</c:v>
                </c:pt>
                <c:pt idx="2">
                  <c:v>Konka Healty Electric Kettle, 24-hour Heat Preservation,1.5L,800W, White</c:v>
                </c:pt>
                <c:pt idx="3">
                  <c:v>Bedroom Simple Floor Hanging Clothes Rack Single Pole Hat Rack - White</c:v>
                </c:pt>
                <c:pt idx="4">
                  <c:v>Peacock  Throw Pillow Cushion Case For Home Car</c:v>
                </c:pt>
                <c:pt idx="5">
                  <c:v>Classic Black Cat Cotton Hemp Pillow Case For Home Car</c:v>
                </c:pt>
                <c:pt idx="6">
                  <c:v>DIY File Folder, Office Drawer File Holder, Pen Holder, Desktop Storage Rack</c:v>
                </c:pt>
              </c:strCache>
            </c:strRef>
          </c:cat>
          <c:val>
            <c:numRef>
              <c:f>'3c. Prod&amp;Rat'!$E$4:$E$11</c:f>
              <c:numCache>
                <c:formatCode>General</c:formatCode>
                <c:ptCount val="7"/>
                <c:pt idx="0">
                  <c:v>5</c:v>
                </c:pt>
                <c:pt idx="1">
                  <c:v>5</c:v>
                </c:pt>
                <c:pt idx="2">
                  <c:v>5</c:v>
                </c:pt>
                <c:pt idx="3">
                  <c:v>5</c:v>
                </c:pt>
                <c:pt idx="4">
                  <c:v>5</c:v>
                </c:pt>
                <c:pt idx="5">
                  <c:v>5</c:v>
                </c:pt>
                <c:pt idx="6">
                  <c:v>5</c:v>
                </c:pt>
              </c:numCache>
            </c:numRef>
          </c:val>
          <c:extLst>
            <c:ext xmlns:c16="http://schemas.microsoft.com/office/drawing/2014/chart" uri="{C3380CC4-5D6E-409C-BE32-E72D297353CC}">
              <c16:uniqueId val="{00000000-613F-4373-9AFD-E7DEF9789D3B}"/>
            </c:ext>
          </c:extLst>
        </c:ser>
        <c:dLbls>
          <c:showLegendKey val="0"/>
          <c:showVal val="0"/>
          <c:showCatName val="0"/>
          <c:showSerName val="0"/>
          <c:showPercent val="0"/>
          <c:showBubbleSize val="0"/>
        </c:dLbls>
        <c:gapWidth val="182"/>
        <c:axId val="434668512"/>
        <c:axId val="434671392"/>
      </c:barChart>
      <c:catAx>
        <c:axId val="43466851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Products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gradFill>
              <a:gsLst>
                <a:gs pos="26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434671392"/>
        <c:crosses val="autoZero"/>
        <c:auto val="1"/>
        <c:lblAlgn val="ctr"/>
        <c:lblOffset val="100"/>
        <c:noMultiLvlLbl val="0"/>
      </c:catAx>
      <c:valAx>
        <c:axId val="43467139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Rating</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46685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[Excel_jumia.xlsx]3b. Prod&amp;Rev!PivotTable2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2">
                    <a:lumMod val="75000"/>
                  </a:schemeClr>
                </a:solidFill>
              </a:rPr>
              <a:t>Top</a:t>
            </a:r>
            <a:r>
              <a:rPr lang="en-US" b="1" baseline="0">
                <a:solidFill>
                  <a:schemeClr val="accent2">
                    <a:lumMod val="75000"/>
                  </a:schemeClr>
                </a:solidFill>
              </a:rPr>
              <a:t> Products By Number of Reviews</a:t>
            </a:r>
            <a:endParaRPr lang="en-US" b="1">
              <a:solidFill>
                <a:schemeClr val="accent2">
                  <a:lumMod val="75000"/>
                </a:schemeClr>
              </a:solidFill>
            </a:endParaRPr>
          </a:p>
        </c:rich>
      </c:tx>
      <c:layout>
        <c:manualLayout>
          <c:xMode val="edge"/>
          <c:yMode val="edge"/>
          <c:x val="0.35736824409359602"/>
          <c:y val="9.620151647710702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'3b. Prod&amp;Rev'!$B$3</c:f>
              <c:strCache>
                <c:ptCount val="1"/>
                <c:pt idx="0">
                  <c:v>Total</c:v>
                </c:pt>
              </c:strCache>
            </c:strRef>
          </c:tx>
          <c:spPr>
            <a:solidFill>
              <a:schemeClr val="accent2">
                <a:lumMod val="75000"/>
              </a:schemeClr>
            </a:solidFill>
            <a:ln>
              <a:noFill/>
            </a:ln>
            <a:effectLst/>
          </c:spPr>
          <c:invertIfNegative val="0"/>
          <c:cat>
            <c:strRef>
              <c:f>'3b. Prod&amp;Rev'!$A$4:$A$14</c:f>
              <c:strCache>
                <c:ptCount val="10"/>
                <c:pt idx="0">
                  <c:v>120W Cordless Vacuum Cleaners Handheld Electric Vacuum Cleaner</c:v>
                </c:pt>
                <c:pt idx="1">
                  <c:v>137 Pieces Cake Decorating Tool Set Baking Supplies</c:v>
                </c:pt>
                <c:pt idx="2">
                  <c:v>Electronic Digital Display Vernier Caliper</c:v>
                </c:pt>
                <c:pt idx="3">
                  <c:v>3D Waterproof EVA Plastic Shower Curtain 1.8*2Mtrs</c:v>
                </c:pt>
                <c:pt idx="4">
                  <c:v>100 Pcs Crochet Hook Tool Set Knitting Hook Set With Box</c:v>
                </c:pt>
                <c:pt idx="5">
                  <c:v>Punch-free Great Load Bearing Bathroom Storage Rack Wall Shelf-White</c:v>
                </c:pt>
                <c:pt idx="6">
                  <c:v>53 Pieces/Set Yarn Knitting Crochet Hooks With Bag - Pansies</c:v>
                </c:pt>
                <c:pt idx="7">
                  <c:v>Portable Mini Cordless Car Vacuum Cleaner - Blue</c:v>
                </c:pt>
                <c:pt idx="8">
                  <c:v>53Pcs/Set Yarn Knitting Crochet Hooks With Bag - Fortune Cat</c:v>
                </c:pt>
                <c:pt idx="9">
                  <c:v>52 Pieces Cake Decorating Tool Set Gift Kit Baking Supplies</c:v>
                </c:pt>
              </c:strCache>
            </c:strRef>
          </c:cat>
          <c:val>
            <c:numRef>
              <c:f>'3b. Prod&amp;Rev'!$B$4:$B$14</c:f>
              <c:numCache>
                <c:formatCode>General</c:formatCode>
                <c:ptCount val="10"/>
                <c:pt idx="0">
                  <c:v>69</c:v>
                </c:pt>
                <c:pt idx="1">
                  <c:v>55</c:v>
                </c:pt>
                <c:pt idx="2">
                  <c:v>49</c:v>
                </c:pt>
                <c:pt idx="3">
                  <c:v>44</c:v>
                </c:pt>
                <c:pt idx="4">
                  <c:v>39</c:v>
                </c:pt>
                <c:pt idx="5">
                  <c:v>36</c:v>
                </c:pt>
                <c:pt idx="6">
                  <c:v>32</c:v>
                </c:pt>
                <c:pt idx="7">
                  <c:v>24</c:v>
                </c:pt>
                <c:pt idx="8">
                  <c:v>20</c:v>
                </c:pt>
                <c:pt idx="9">
                  <c:v>20</c:v>
                </c:pt>
              </c:numCache>
            </c:numRef>
          </c:val>
          <c:extLst>
            <c:ext xmlns:c16="http://schemas.microsoft.com/office/drawing/2014/chart" uri="{C3380CC4-5D6E-409C-BE32-E72D297353CC}">
              <c16:uniqueId val="{00000000-D3BB-43F9-BE19-886BECD2B2F6}"/>
            </c:ext>
          </c:extLst>
        </c:ser>
        <c:dLbls>
          <c:showLegendKey val="0"/>
          <c:showVal val="0"/>
          <c:showCatName val="0"/>
          <c:showSerName val="0"/>
          <c:showPercent val="0"/>
          <c:showBubbleSize val="0"/>
        </c:dLbls>
        <c:gapWidth val="182"/>
        <c:axId val="440833040"/>
        <c:axId val="440834000"/>
      </c:barChart>
      <c:catAx>
        <c:axId val="44083304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Products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440834000"/>
        <c:crosses val="autoZero"/>
        <c:auto val="1"/>
        <c:lblAlgn val="ctr"/>
        <c:lblOffset val="100"/>
        <c:noMultiLvlLbl val="0"/>
      </c:catAx>
      <c:valAx>
        <c:axId val="44083400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a:t>
                </a:r>
                <a:r>
                  <a:rPr lang="en-US" baseline="0"/>
                  <a:t> of Reviews</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08330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[Excel_jumia.xlsx]3a. Prod&amp;Disc!PivotTable1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2">
                    <a:lumMod val="75000"/>
                  </a:schemeClr>
                </a:solidFill>
              </a:rPr>
              <a:t>Top</a:t>
            </a:r>
            <a:r>
              <a:rPr lang="en-US" b="1" baseline="0">
                <a:solidFill>
                  <a:schemeClr val="accent2">
                    <a:lumMod val="75000"/>
                  </a:schemeClr>
                </a:solidFill>
              </a:rPr>
              <a:t> Products by Discount Percentage</a:t>
            </a:r>
            <a:endParaRPr lang="en-US" b="1">
              <a:solidFill>
                <a:schemeClr val="accent2">
                  <a:lumMod val="7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'3a. Prod&amp;Disc'!$B$3</c:f>
              <c:strCache>
                <c:ptCount val="1"/>
                <c:pt idx="0">
                  <c:v>Total</c:v>
                </c:pt>
              </c:strCache>
            </c:strRef>
          </c:tx>
          <c:spPr>
            <a:solidFill>
              <a:schemeClr val="accent2">
                <a:lumMod val="75000"/>
              </a:schemeClr>
            </a:solidFill>
            <a:ln>
              <a:noFill/>
            </a:ln>
            <a:effectLst/>
          </c:spPr>
          <c:invertIfNegative val="0"/>
          <c:cat>
            <c:strRef>
              <c:f>'3a. Prod&amp;Disc'!$A$4:$A$14</c:f>
              <c:strCache>
                <c:ptCount val="10"/>
                <c:pt idx="0">
                  <c:v>6 In 1 Bottle Can Opener Multifunctional Easy Opener</c:v>
                </c:pt>
                <c:pt idx="1">
                  <c:v>5-PCS Stainless Steel Cooking Pot Set With Steamed Slices</c:v>
                </c:pt>
                <c:pt idx="2">
                  <c:v>Creative Owl Shape Keychain Black</c:v>
                </c:pt>
                <c:pt idx="3">
                  <c:v>LASA FOLDING TABLE SERVING STAND</c:v>
                </c:pt>
                <c:pt idx="4">
                  <c:v>LASA 3 Tier Bamboo Shoe Bench Storage Shelf</c:v>
                </c:pt>
                <c:pt idx="5">
                  <c:v>Mythco 120COB Solar Wall Ligt With Motion Sensor And Remote Control 3 Modes</c:v>
                </c:pt>
                <c:pt idx="6">
                  <c:v>3PCS Single Head Knitting Crochet Sweater Needle Set</c:v>
                </c:pt>
                <c:pt idx="7">
                  <c:v>Classic Black Cat Cotton Hemp Pillow Case For Home Car</c:v>
                </c:pt>
                <c:pt idx="8">
                  <c:v>Intelligent  LED Body Sensor Wireless Lighting Night Light USB</c:v>
                </c:pt>
                <c:pt idx="9">
                  <c:v>Exfoliate And Exfoliate Face Towel - Black</c:v>
                </c:pt>
              </c:strCache>
            </c:strRef>
          </c:cat>
          <c:val>
            <c:numRef>
              <c:f>'3a. Prod&amp;Disc'!$B$4:$B$14</c:f>
              <c:numCache>
                <c:formatCode>0.00%</c:formatCode>
                <c:ptCount val="10"/>
                <c:pt idx="0">
                  <c:v>0.64014466546112114</c:v>
                </c:pt>
                <c:pt idx="1">
                  <c:v>0.55000000000000004</c:v>
                </c:pt>
                <c:pt idx="2">
                  <c:v>0.54750690131124913</c:v>
                </c:pt>
                <c:pt idx="3">
                  <c:v>0.54500000000000004</c:v>
                </c:pt>
                <c:pt idx="4">
                  <c:v>0.54488888888888887</c:v>
                </c:pt>
                <c:pt idx="5">
                  <c:v>0.53549695740365111</c:v>
                </c:pt>
                <c:pt idx="6">
                  <c:v>0.52500000000000002</c:v>
                </c:pt>
                <c:pt idx="7">
                  <c:v>0.52500000000000002</c:v>
                </c:pt>
                <c:pt idx="8">
                  <c:v>0.5220588235294118</c:v>
                </c:pt>
                <c:pt idx="9">
                  <c:v>0.51570680628272247</c:v>
                </c:pt>
              </c:numCache>
            </c:numRef>
          </c:val>
          <c:extLst>
            <c:ext xmlns:c16="http://schemas.microsoft.com/office/drawing/2014/chart" uri="{C3380CC4-5D6E-409C-BE32-E72D297353CC}">
              <c16:uniqueId val="{00000000-3B82-4E83-A2B1-F51294361437}"/>
            </c:ext>
          </c:extLst>
        </c:ser>
        <c:dLbls>
          <c:showLegendKey val="0"/>
          <c:showVal val="0"/>
          <c:showCatName val="0"/>
          <c:showSerName val="0"/>
          <c:showPercent val="0"/>
          <c:showBubbleSize val="0"/>
        </c:dLbls>
        <c:gapWidth val="219"/>
        <c:overlap val="-27"/>
        <c:axId val="522584064"/>
        <c:axId val="522582624"/>
      </c:barChart>
      <c:catAx>
        <c:axId val="5225840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Products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522582624"/>
        <c:crosses val="autoZero"/>
        <c:auto val="1"/>
        <c:lblAlgn val="ctr"/>
        <c:lblOffset val="100"/>
        <c:noMultiLvlLbl val="0"/>
      </c:catAx>
      <c:valAx>
        <c:axId val="52258262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Discount(%)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5225840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2">
                    <a:lumMod val="75000"/>
                  </a:schemeClr>
                </a:solidFill>
              </a:rPr>
              <a:t>Discount</a:t>
            </a:r>
            <a:r>
              <a:rPr lang="en-US" b="1" baseline="0">
                <a:solidFill>
                  <a:schemeClr val="accent2">
                    <a:lumMod val="75000"/>
                  </a:schemeClr>
                </a:solidFill>
              </a:rPr>
              <a:t> Percentage Vs Number of Reviews</a:t>
            </a:r>
            <a:r>
              <a:rPr lang="en-US"/>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'2a&amp;c. Disc&amp;rev'!$B$1</c:f>
              <c:strCache>
                <c:ptCount val="1"/>
                <c:pt idx="0">
                  <c:v>Review </c:v>
                </c:pt>
              </c:strCache>
            </c:strRef>
          </c:tx>
          <c:spPr>
            <a:ln w="38100" cap="rnd">
              <a:noFill/>
              <a:round/>
            </a:ln>
            <a:effectLst/>
          </c:spPr>
          <c:marker>
            <c:symbol val="circle"/>
            <c:size val="5"/>
            <c:spPr>
              <a:solidFill>
                <a:schemeClr val="accent2"/>
              </a:solidFill>
              <a:ln w="9525">
                <a:solidFill>
                  <a:schemeClr val="accent2"/>
                </a:solidFill>
              </a:ln>
              <a:effectLst/>
            </c:spPr>
          </c:marker>
          <c:trendline>
            <c:spPr>
              <a:ln w="19050" cap="rnd">
                <a:solidFill>
                  <a:schemeClr val="accent2"/>
                </a:solidFill>
                <a:prstDash val="sysDot"/>
              </a:ln>
              <a:effectLst/>
            </c:spPr>
            <c:trendlineType val="linear"/>
            <c:dispRSqr val="0"/>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'2a&amp;c. Disc&amp;rev'!$A$2:$A$113</c:f>
              <c:numCache>
                <c:formatCode>0.00%</c:formatCode>
                <c:ptCount val="112"/>
                <c:pt idx="0">
                  <c:v>0.37704918032786883</c:v>
                </c:pt>
                <c:pt idx="1">
                  <c:v>0.47247247247247248</c:v>
                </c:pt>
                <c:pt idx="2">
                  <c:v>0.24769072870338693</c:v>
                </c:pt>
                <c:pt idx="3">
                  <c:v>0.36774709883953582</c:v>
                </c:pt>
                <c:pt idx="4">
                  <c:v>0.26146010186757218</c:v>
                </c:pt>
                <c:pt idx="5">
                  <c:v>8.8449848024316116E-2</c:v>
                </c:pt>
                <c:pt idx="6">
                  <c:v>0.23515831134564644</c:v>
                </c:pt>
                <c:pt idx="7">
                  <c:v>0.37468354430379747</c:v>
                </c:pt>
                <c:pt idx="8">
                  <c:v>0.54500000000000004</c:v>
                </c:pt>
                <c:pt idx="9">
                  <c:v>0.45373847729600547</c:v>
                </c:pt>
                <c:pt idx="10">
                  <c:v>0.20020020020020021</c:v>
                </c:pt>
                <c:pt idx="11">
                  <c:v>0.34</c:v>
                </c:pt>
                <c:pt idx="12">
                  <c:v>0.46666666666666667</c:v>
                </c:pt>
                <c:pt idx="13">
                  <c:v>0.41744186046511628</c:v>
                </c:pt>
                <c:pt idx="14">
                  <c:v>0.32773109243697479</c:v>
                </c:pt>
                <c:pt idx="15">
                  <c:v>0.51461988304093564</c:v>
                </c:pt>
                <c:pt idx="16">
                  <c:v>0.45833333333333331</c:v>
                </c:pt>
                <c:pt idx="17">
                  <c:v>0.49005288340468395</c:v>
                </c:pt>
                <c:pt idx="18">
                  <c:v>0.18924033522573669</c:v>
                </c:pt>
                <c:pt idx="19">
                  <c:v>0.49237029501525942</c:v>
                </c:pt>
                <c:pt idx="20">
                  <c:v>0.52500000000000002</c:v>
                </c:pt>
                <c:pt idx="21">
                  <c:v>0.42236024844720499</c:v>
                </c:pt>
                <c:pt idx="22">
                  <c:v>0.34814814814814815</c:v>
                </c:pt>
                <c:pt idx="23">
                  <c:v>0.23255813953488372</c:v>
                </c:pt>
                <c:pt idx="24">
                  <c:v>0.54488888888888887</c:v>
                </c:pt>
                <c:pt idx="25">
                  <c:v>0.3508500772797527</c:v>
                </c:pt>
                <c:pt idx="26">
                  <c:v>0.18181818181818182</c:v>
                </c:pt>
                <c:pt idx="27">
                  <c:v>0.32160804020100503</c:v>
                </c:pt>
                <c:pt idx="28">
                  <c:v>0.2965186074429772</c:v>
                </c:pt>
                <c:pt idx="29">
                  <c:v>0.46078431372549017</c:v>
                </c:pt>
                <c:pt idx="30">
                  <c:v>0.51570680628272247</c:v>
                </c:pt>
                <c:pt idx="31">
                  <c:v>0.34228187919463088</c:v>
                </c:pt>
                <c:pt idx="32">
                  <c:v>0.47851002865329512</c:v>
                </c:pt>
                <c:pt idx="33">
                  <c:v>0.26792452830188679</c:v>
                </c:pt>
                <c:pt idx="34">
                  <c:v>0.26639496109670247</c:v>
                </c:pt>
                <c:pt idx="35">
                  <c:v>0.39776951672862454</c:v>
                </c:pt>
                <c:pt idx="36">
                  <c:v>0.52500000000000002</c:v>
                </c:pt>
                <c:pt idx="37">
                  <c:v>0.40701219512195119</c:v>
                </c:pt>
                <c:pt idx="38">
                  <c:v>0.33333333333333331</c:v>
                </c:pt>
                <c:pt idx="39">
                  <c:v>0.38492507269067322</c:v>
                </c:pt>
                <c:pt idx="40">
                  <c:v>0.48979591836734693</c:v>
                </c:pt>
                <c:pt idx="41">
                  <c:v>0.5</c:v>
                </c:pt>
                <c:pt idx="42">
                  <c:v>0.42452830188679247</c:v>
                </c:pt>
                <c:pt idx="43">
                  <c:v>1.705855232826187E-2</c:v>
                </c:pt>
                <c:pt idx="44">
                  <c:v>0.50049999999999994</c:v>
                </c:pt>
                <c:pt idx="45">
                  <c:v>0.33333333333333331</c:v>
                </c:pt>
                <c:pt idx="46">
                  <c:v>0.49012158054711247</c:v>
                </c:pt>
                <c:pt idx="47">
                  <c:v>0.38461538461538464</c:v>
                </c:pt>
                <c:pt idx="48">
                  <c:v>0.60515873015873012</c:v>
                </c:pt>
                <c:pt idx="49">
                  <c:v>0.50166666666666671</c:v>
                </c:pt>
                <c:pt idx="50">
                  <c:v>2.2954679223072396E-2</c:v>
                </c:pt>
                <c:pt idx="51">
                  <c:v>0.22135416666666666</c:v>
                </c:pt>
                <c:pt idx="52">
                  <c:v>2.6684456304202801E-2</c:v>
                </c:pt>
                <c:pt idx="53">
                  <c:v>0.4050632911392405</c:v>
                </c:pt>
                <c:pt idx="54">
                  <c:v>0.44555555555555554</c:v>
                </c:pt>
                <c:pt idx="55">
                  <c:v>0.47952345495160087</c:v>
                </c:pt>
                <c:pt idx="56">
                  <c:v>0.49010848755583919</c:v>
                </c:pt>
                <c:pt idx="57">
                  <c:v>0.26535433070866143</c:v>
                </c:pt>
                <c:pt idx="58">
                  <c:v>0.5546875</c:v>
                </c:pt>
                <c:pt idx="59">
                  <c:v>0.13200000000000001</c:v>
                </c:pt>
                <c:pt idx="60">
                  <c:v>0.53549695740365111</c:v>
                </c:pt>
                <c:pt idx="61">
                  <c:v>0.55000000000000004</c:v>
                </c:pt>
                <c:pt idx="62">
                  <c:v>0.49026345933562426</c:v>
                </c:pt>
                <c:pt idx="63">
                  <c:v>0.5220588235294118</c:v>
                </c:pt>
                <c:pt idx="64">
                  <c:v>0.21543408360128619</c:v>
                </c:pt>
                <c:pt idx="65">
                  <c:v>0.45424476295479604</c:v>
                </c:pt>
                <c:pt idx="66">
                  <c:v>0.5</c:v>
                </c:pt>
                <c:pt idx="67">
                  <c:v>0.38954908025394758</c:v>
                </c:pt>
                <c:pt idx="68">
                  <c:v>0.45428571428571429</c:v>
                </c:pt>
                <c:pt idx="69">
                  <c:v>0.29012345679012347</c:v>
                </c:pt>
                <c:pt idx="70">
                  <c:v>0.42691029900332228</c:v>
                </c:pt>
                <c:pt idx="71">
                  <c:v>0.43381535038932145</c:v>
                </c:pt>
                <c:pt idx="72">
                  <c:v>0.46637265711135611</c:v>
                </c:pt>
                <c:pt idx="73">
                  <c:v>0.4745649263721553</c:v>
                </c:pt>
                <c:pt idx="74">
                  <c:v>0.46801346801346799</c:v>
                </c:pt>
                <c:pt idx="75">
                  <c:v>0.42499999999999999</c:v>
                </c:pt>
                <c:pt idx="76">
                  <c:v>3.7242912729294052E-2</c:v>
                </c:pt>
                <c:pt idx="77">
                  <c:v>0.48888888888888887</c:v>
                </c:pt>
                <c:pt idx="78">
                  <c:v>0.45929968167348795</c:v>
                </c:pt>
                <c:pt idx="79">
                  <c:v>0.49010416666666667</c:v>
                </c:pt>
                <c:pt idx="80">
                  <c:v>0.36244541484716158</c:v>
                </c:pt>
                <c:pt idx="81">
                  <c:v>1.9423190111830489E-2</c:v>
                </c:pt>
                <c:pt idx="82">
                  <c:v>0.48995363214837712</c:v>
                </c:pt>
                <c:pt idx="83">
                  <c:v>0.48985507246376814</c:v>
                </c:pt>
                <c:pt idx="84">
                  <c:v>0.13713949381989404</c:v>
                </c:pt>
                <c:pt idx="85">
                  <c:v>0.48975791433891991</c:v>
                </c:pt>
                <c:pt idx="86">
                  <c:v>0.11222222222222222</c:v>
                </c:pt>
                <c:pt idx="87">
                  <c:v>0.48990683229813664</c:v>
                </c:pt>
                <c:pt idx="88">
                  <c:v>0.13596233078281342</c:v>
                </c:pt>
                <c:pt idx="89">
                  <c:v>0.42727272727272725</c:v>
                </c:pt>
                <c:pt idx="90">
                  <c:v>0.5</c:v>
                </c:pt>
                <c:pt idx="91">
                  <c:v>0.48</c:v>
                </c:pt>
                <c:pt idx="92">
                  <c:v>0.47499999999999998</c:v>
                </c:pt>
                <c:pt idx="93">
                  <c:v>0.47086521483225424</c:v>
                </c:pt>
                <c:pt idx="94">
                  <c:v>0.5</c:v>
                </c:pt>
                <c:pt idx="95">
                  <c:v>8.0722891566265054E-2</c:v>
                </c:pt>
                <c:pt idx="96">
                  <c:v>2.4683122081387593E-2</c:v>
                </c:pt>
                <c:pt idx="97">
                  <c:v>0.48971193415637859</c:v>
                </c:pt>
                <c:pt idx="98">
                  <c:v>4.1362530413625302E-2</c:v>
                </c:pt>
                <c:pt idx="99">
                  <c:v>0.48979591836734693</c:v>
                </c:pt>
                <c:pt idx="100">
                  <c:v>0.42369263607257202</c:v>
                </c:pt>
                <c:pt idx="101">
                  <c:v>0.20662598081952921</c:v>
                </c:pt>
                <c:pt idx="102">
                  <c:v>0.41322314049586778</c:v>
                </c:pt>
                <c:pt idx="103">
                  <c:v>1.2638230647709321E-2</c:v>
                </c:pt>
                <c:pt idx="104">
                  <c:v>0.23846153846153847</c:v>
                </c:pt>
                <c:pt idx="105">
                  <c:v>0.3379389752446747</c:v>
                </c:pt>
                <c:pt idx="106">
                  <c:v>0.34254143646408841</c:v>
                </c:pt>
                <c:pt idx="107">
                  <c:v>2.4131842260153032E-2</c:v>
                </c:pt>
                <c:pt idx="108">
                  <c:v>1.7231795441912175E-2</c:v>
                </c:pt>
                <c:pt idx="109">
                  <c:v>0.64014466546112114</c:v>
                </c:pt>
                <c:pt idx="110">
                  <c:v>0.5</c:v>
                </c:pt>
                <c:pt idx="111">
                  <c:v>0.47187499999999999</c:v>
                </c:pt>
              </c:numCache>
            </c:numRef>
          </c:xVal>
          <c:yVal>
            <c:numRef>
              <c:f>'2a&amp;c. Disc&amp;rev'!$B$2:$B$113</c:f>
              <c:numCache>
                <c:formatCode>General</c:formatCode>
                <c:ptCount val="112"/>
                <c:pt idx="0">
                  <c:v>2</c:v>
                </c:pt>
                <c:pt idx="1">
                  <c:v>14</c:v>
                </c:pt>
                <c:pt idx="2">
                  <c:v>24</c:v>
                </c:pt>
                <c:pt idx="3">
                  <c:v>7</c:v>
                </c:pt>
                <c:pt idx="4">
                  <c:v>5</c:v>
                </c:pt>
                <c:pt idx="5">
                  <c:v>15</c:v>
                </c:pt>
                <c:pt idx="6">
                  <c:v>55</c:v>
                </c:pt>
                <c:pt idx="7">
                  <c:v>2</c:v>
                </c:pt>
                <c:pt idx="8">
                  <c:v>5</c:v>
                </c:pt>
                <c:pt idx="9">
                  <c:v>5</c:v>
                </c:pt>
                <c:pt idx="10">
                  <c:v>12</c:v>
                </c:pt>
                <c:pt idx="11">
                  <c:v>39</c:v>
                </c:pt>
                <c:pt idx="12">
                  <c:v>12</c:v>
                </c:pt>
                <c:pt idx="13">
                  <c:v>6</c:v>
                </c:pt>
                <c:pt idx="14">
                  <c:v>9</c:v>
                </c:pt>
                <c:pt idx="15">
                  <c:v>2</c:v>
                </c:pt>
                <c:pt idx="16">
                  <c:v>2</c:v>
                </c:pt>
                <c:pt idx="17">
                  <c:v>3</c:v>
                </c:pt>
                <c:pt idx="18">
                  <c:v>5</c:v>
                </c:pt>
                <c:pt idx="19">
                  <c:v>44</c:v>
                </c:pt>
                <c:pt idx="20">
                  <c:v>13</c:v>
                </c:pt>
                <c:pt idx="21">
                  <c:v>0</c:v>
                </c:pt>
                <c:pt idx="22">
                  <c:v>6</c:v>
                </c:pt>
                <c:pt idx="23">
                  <c:v>14</c:v>
                </c:pt>
                <c:pt idx="24">
                  <c:v>7</c:v>
                </c:pt>
                <c:pt idx="25">
                  <c:v>49</c:v>
                </c:pt>
                <c:pt idx="26">
                  <c:v>12</c:v>
                </c:pt>
                <c:pt idx="27">
                  <c:v>13</c:v>
                </c:pt>
                <c:pt idx="28">
                  <c:v>20</c:v>
                </c:pt>
                <c:pt idx="29">
                  <c:v>0</c:v>
                </c:pt>
                <c:pt idx="30">
                  <c:v>9</c:v>
                </c:pt>
                <c:pt idx="31">
                  <c:v>12</c:v>
                </c:pt>
                <c:pt idx="32">
                  <c:v>9</c:v>
                </c:pt>
                <c:pt idx="33">
                  <c:v>20</c:v>
                </c:pt>
                <c:pt idx="34">
                  <c:v>32</c:v>
                </c:pt>
                <c:pt idx="35">
                  <c:v>1</c:v>
                </c:pt>
                <c:pt idx="36">
                  <c:v>2</c:v>
                </c:pt>
                <c:pt idx="37">
                  <c:v>36</c:v>
                </c:pt>
                <c:pt idx="38">
                  <c:v>2</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6</c:v>
                </c:pt>
                <c:pt idx="60">
                  <c:v>10</c:v>
                </c:pt>
                <c:pt idx="61">
                  <c:v>13</c:v>
                </c:pt>
                <c:pt idx="62">
                  <c:v>69</c:v>
                </c:pt>
                <c:pt idx="63">
                  <c:v>15</c:v>
                </c:pt>
                <c:pt idx="64">
                  <c:v>16</c:v>
                </c:pt>
                <c:pt idx="65">
                  <c:v>6</c:v>
                </c:pt>
                <c:pt idx="66">
                  <c:v>7</c:v>
                </c:pt>
                <c:pt idx="67">
                  <c:v>5</c:v>
                </c:pt>
                <c:pt idx="68">
                  <c:v>17</c:v>
                </c:pt>
                <c:pt idx="69">
                  <c:v>5</c:v>
                </c:pt>
                <c:pt idx="70">
                  <c:v>6</c:v>
                </c:pt>
                <c:pt idx="71">
                  <c:v>5</c:v>
                </c:pt>
                <c:pt idx="72">
                  <c:v>6</c:v>
                </c:pt>
                <c:pt idx="73">
                  <c:v>7</c:v>
                </c:pt>
                <c:pt idx="74">
                  <c:v>0</c:v>
                </c:pt>
                <c:pt idx="75">
                  <c:v>0</c:v>
                </c:pt>
                <c:pt idx="76">
                  <c:v>0</c:v>
                </c:pt>
                <c:pt idx="77">
                  <c:v>0</c:v>
                </c:pt>
                <c:pt idx="78">
                  <c:v>1</c:v>
                </c:pt>
                <c:pt idx="79">
                  <c:v>1</c:v>
                </c:pt>
                <c:pt idx="80">
                  <c:v>0</c:v>
                </c:pt>
                <c:pt idx="81">
                  <c:v>0</c:v>
                </c:pt>
                <c:pt idx="82">
                  <c:v>1</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1</c:v>
                </c:pt>
                <c:pt idx="102">
                  <c:v>0</c:v>
                </c:pt>
                <c:pt idx="103">
                  <c:v>0</c:v>
                </c:pt>
                <c:pt idx="104">
                  <c:v>0</c:v>
                </c:pt>
                <c:pt idx="105">
                  <c:v>0</c:v>
                </c:pt>
                <c:pt idx="106">
                  <c:v>0</c:v>
                </c:pt>
                <c:pt idx="107">
                  <c:v>0</c:v>
                </c:pt>
                <c:pt idx="108">
                  <c:v>0</c:v>
                </c:pt>
                <c:pt idx="109">
                  <c:v>0</c:v>
                </c:pt>
                <c:pt idx="110">
                  <c:v>1</c:v>
                </c:pt>
                <c:pt idx="111">
                  <c:v>0</c:v>
                </c:pt>
              </c:numCache>
            </c:numRef>
          </c:yVal>
          <c:smooth val="0"/>
          <c:extLst>
            <c:ext xmlns:c16="http://schemas.microsoft.com/office/drawing/2014/chart" uri="{C3380CC4-5D6E-409C-BE32-E72D297353CC}">
              <c16:uniqueId val="{00000001-220A-4765-8D90-F41BB2FF25B3}"/>
            </c:ext>
          </c:extLst>
        </c:ser>
        <c:dLbls>
          <c:showLegendKey val="0"/>
          <c:showVal val="0"/>
          <c:showCatName val="0"/>
          <c:showSerName val="0"/>
          <c:showPercent val="0"/>
          <c:showBubbleSize val="0"/>
        </c:dLbls>
        <c:axId val="314400080"/>
        <c:axId val="314400560"/>
      </c:scatterChart>
      <c:valAx>
        <c:axId val="31440008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Discount</a:t>
                </a:r>
                <a:r>
                  <a:rPr lang="en-US" baseline="0"/>
                  <a:t> Percentage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4400560"/>
        <c:crosses val="autoZero"/>
        <c:crossBetween val="midCat"/>
      </c:valAx>
      <c:valAx>
        <c:axId val="3144005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a:t>
                </a:r>
                <a:r>
                  <a:rPr lang="en-US" baseline="0"/>
                  <a:t> of Reviews</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4400080"/>
        <c:crosses val="autoZero"/>
        <c:crossBetween val="midCat"/>
      </c:valAx>
      <c:spPr>
        <a:noFill/>
        <a:ln>
          <a:solidFill>
            <a:schemeClr val="accent2">
              <a:lumMod val="75000"/>
            </a:schemeClr>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2">
                    <a:lumMod val="75000"/>
                  </a:schemeClr>
                </a:solidFill>
              </a:rPr>
              <a:t>Rating</a:t>
            </a:r>
            <a:r>
              <a:rPr lang="en-US" b="1" baseline="0">
                <a:solidFill>
                  <a:schemeClr val="accent2">
                    <a:lumMod val="75000"/>
                  </a:schemeClr>
                </a:solidFill>
              </a:rPr>
              <a:t> Vs Number of Reviews</a:t>
            </a:r>
            <a:endParaRPr lang="en-US" b="1">
              <a:solidFill>
                <a:schemeClr val="accent2">
                  <a:lumMod val="7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'2b&amp; d. Rat&amp;Rev'!$B$1</c:f>
              <c:strCache>
                <c:ptCount val="1"/>
                <c:pt idx="0">
                  <c:v>Rating</c:v>
                </c:pt>
              </c:strCache>
            </c:strRef>
          </c:tx>
          <c:spPr>
            <a:ln w="38100" cap="rnd">
              <a:noFill/>
              <a:round/>
            </a:ln>
            <a:effectLst/>
          </c:spPr>
          <c:marker>
            <c:symbol val="circle"/>
            <c:size val="5"/>
            <c:spPr>
              <a:solidFill>
                <a:schemeClr val="accent2"/>
              </a:solidFill>
              <a:ln w="9525">
                <a:solidFill>
                  <a:schemeClr val="accent2"/>
                </a:solidFill>
              </a:ln>
              <a:effectLst/>
            </c:spPr>
          </c:marker>
          <c:xVal>
            <c:strRef>
              <c:f>'2b&amp; d. Rat&amp;Rev'!$A$2:$A$113</c:f>
              <c:strCache>
                <c:ptCount val="112"/>
                <c:pt idx="0">
                  <c:v>2</c:v>
                </c:pt>
                <c:pt idx="1">
                  <c:v>14</c:v>
                </c:pt>
                <c:pt idx="2">
                  <c:v>24</c:v>
                </c:pt>
                <c:pt idx="3">
                  <c:v>7</c:v>
                </c:pt>
                <c:pt idx="4">
                  <c:v>5</c:v>
                </c:pt>
                <c:pt idx="5">
                  <c:v>15</c:v>
                </c:pt>
                <c:pt idx="6">
                  <c:v>55</c:v>
                </c:pt>
                <c:pt idx="7">
                  <c:v>2</c:v>
                </c:pt>
                <c:pt idx="8">
                  <c:v>5</c:v>
                </c:pt>
                <c:pt idx="9">
                  <c:v>5</c:v>
                </c:pt>
                <c:pt idx="10">
                  <c:v>12</c:v>
                </c:pt>
                <c:pt idx="11">
                  <c:v>39</c:v>
                </c:pt>
                <c:pt idx="12">
                  <c:v>12</c:v>
                </c:pt>
                <c:pt idx="13">
                  <c:v>6</c:v>
                </c:pt>
                <c:pt idx="14">
                  <c:v>9</c:v>
                </c:pt>
                <c:pt idx="15">
                  <c:v>2</c:v>
                </c:pt>
                <c:pt idx="16">
                  <c:v>2</c:v>
                </c:pt>
                <c:pt idx="17">
                  <c:v>3</c:v>
                </c:pt>
                <c:pt idx="18">
                  <c:v>5</c:v>
                </c:pt>
                <c:pt idx="19">
                  <c:v>44</c:v>
                </c:pt>
                <c:pt idx="20">
                  <c:v>13</c:v>
                </c:pt>
                <c:pt idx="21">
                  <c:v>Not Provided</c:v>
                </c:pt>
                <c:pt idx="22">
                  <c:v>6</c:v>
                </c:pt>
                <c:pt idx="23">
                  <c:v>14</c:v>
                </c:pt>
                <c:pt idx="24">
                  <c:v>7</c:v>
                </c:pt>
                <c:pt idx="25">
                  <c:v>49</c:v>
                </c:pt>
                <c:pt idx="26">
                  <c:v>12</c:v>
                </c:pt>
                <c:pt idx="27">
                  <c:v>13</c:v>
                </c:pt>
                <c:pt idx="28">
                  <c:v>20</c:v>
                </c:pt>
                <c:pt idx="29">
                  <c:v>Not Provided</c:v>
                </c:pt>
                <c:pt idx="30">
                  <c:v>9</c:v>
                </c:pt>
                <c:pt idx="31">
                  <c:v>12</c:v>
                </c:pt>
                <c:pt idx="32">
                  <c:v>9</c:v>
                </c:pt>
                <c:pt idx="33">
                  <c:v>20</c:v>
                </c:pt>
                <c:pt idx="34">
                  <c:v>32</c:v>
                </c:pt>
                <c:pt idx="35">
                  <c:v>1</c:v>
                </c:pt>
                <c:pt idx="36">
                  <c:v>2</c:v>
                </c:pt>
                <c:pt idx="37">
                  <c:v>36</c:v>
                </c:pt>
                <c:pt idx="38">
                  <c:v>2</c:v>
                </c:pt>
                <c:pt idx="39">
                  <c:v>Not Provided</c:v>
                </c:pt>
                <c:pt idx="40">
                  <c:v>Not Provided</c:v>
                </c:pt>
                <c:pt idx="41">
                  <c:v>Not Provided</c:v>
                </c:pt>
                <c:pt idx="42">
                  <c:v>Not Provided</c:v>
                </c:pt>
                <c:pt idx="43">
                  <c:v>Not Provided</c:v>
                </c:pt>
                <c:pt idx="44">
                  <c:v>Not Provided</c:v>
                </c:pt>
                <c:pt idx="45">
                  <c:v>Not Provided</c:v>
                </c:pt>
                <c:pt idx="46">
                  <c:v>Not Provided</c:v>
                </c:pt>
                <c:pt idx="47">
                  <c:v>Not Provided</c:v>
                </c:pt>
                <c:pt idx="48">
                  <c:v>Not Provided</c:v>
                </c:pt>
                <c:pt idx="49">
                  <c:v>Not Provided</c:v>
                </c:pt>
                <c:pt idx="50">
                  <c:v>Not Provided</c:v>
                </c:pt>
                <c:pt idx="51">
                  <c:v>Not Provided</c:v>
                </c:pt>
                <c:pt idx="52">
                  <c:v>Not Provided</c:v>
                </c:pt>
                <c:pt idx="53">
                  <c:v>Not Provided</c:v>
                </c:pt>
                <c:pt idx="54">
                  <c:v>Not Provided</c:v>
                </c:pt>
                <c:pt idx="55">
                  <c:v>Not Provided</c:v>
                </c:pt>
                <c:pt idx="56">
                  <c:v>Not Provided</c:v>
                </c:pt>
                <c:pt idx="57">
                  <c:v>Not Provided</c:v>
                </c:pt>
                <c:pt idx="58">
                  <c:v>Not Provided</c:v>
                </c:pt>
                <c:pt idx="59">
                  <c:v>6</c:v>
                </c:pt>
                <c:pt idx="60">
                  <c:v>10</c:v>
                </c:pt>
                <c:pt idx="61">
                  <c:v>13</c:v>
                </c:pt>
                <c:pt idx="62">
                  <c:v>69</c:v>
                </c:pt>
                <c:pt idx="63">
                  <c:v>15</c:v>
                </c:pt>
                <c:pt idx="64">
                  <c:v>16</c:v>
                </c:pt>
                <c:pt idx="65">
                  <c:v>6</c:v>
                </c:pt>
                <c:pt idx="66">
                  <c:v>7</c:v>
                </c:pt>
                <c:pt idx="67">
                  <c:v>5</c:v>
                </c:pt>
                <c:pt idx="68">
                  <c:v>17</c:v>
                </c:pt>
                <c:pt idx="69">
                  <c:v>5</c:v>
                </c:pt>
                <c:pt idx="70">
                  <c:v>6</c:v>
                </c:pt>
                <c:pt idx="71">
                  <c:v>5</c:v>
                </c:pt>
                <c:pt idx="72">
                  <c:v>6</c:v>
                </c:pt>
                <c:pt idx="73">
                  <c:v>7</c:v>
                </c:pt>
                <c:pt idx="74">
                  <c:v>Not Provided</c:v>
                </c:pt>
                <c:pt idx="75">
                  <c:v>Not Provided</c:v>
                </c:pt>
                <c:pt idx="76">
                  <c:v>Not Provided</c:v>
                </c:pt>
                <c:pt idx="77">
                  <c:v>Not Provided</c:v>
                </c:pt>
                <c:pt idx="78">
                  <c:v>1</c:v>
                </c:pt>
                <c:pt idx="79">
                  <c:v>1</c:v>
                </c:pt>
                <c:pt idx="80">
                  <c:v>Not Provided</c:v>
                </c:pt>
                <c:pt idx="81">
                  <c:v>Not Provided</c:v>
                </c:pt>
                <c:pt idx="82">
                  <c:v>1</c:v>
                </c:pt>
                <c:pt idx="83">
                  <c:v>Not Provided</c:v>
                </c:pt>
                <c:pt idx="84">
                  <c:v>Not Provided</c:v>
                </c:pt>
                <c:pt idx="85">
                  <c:v>Not Provided</c:v>
                </c:pt>
                <c:pt idx="86">
                  <c:v>Not Provided</c:v>
                </c:pt>
                <c:pt idx="87">
                  <c:v>Not Provided</c:v>
                </c:pt>
                <c:pt idx="88">
                  <c:v>Not Provided</c:v>
                </c:pt>
                <c:pt idx="89">
                  <c:v>Not Provided</c:v>
                </c:pt>
                <c:pt idx="90">
                  <c:v>Not Provided</c:v>
                </c:pt>
                <c:pt idx="91">
                  <c:v>Not Provided</c:v>
                </c:pt>
                <c:pt idx="92">
                  <c:v>Not Provided</c:v>
                </c:pt>
                <c:pt idx="93">
                  <c:v>Not Provided</c:v>
                </c:pt>
                <c:pt idx="94">
                  <c:v>Not Provided</c:v>
                </c:pt>
                <c:pt idx="95">
                  <c:v>Not Provided</c:v>
                </c:pt>
                <c:pt idx="96">
                  <c:v>Not Provided</c:v>
                </c:pt>
                <c:pt idx="97">
                  <c:v>Not Provided</c:v>
                </c:pt>
                <c:pt idx="98">
                  <c:v>Not Provided</c:v>
                </c:pt>
                <c:pt idx="99">
                  <c:v>Not Provided</c:v>
                </c:pt>
                <c:pt idx="100">
                  <c:v>Not Provided</c:v>
                </c:pt>
                <c:pt idx="101">
                  <c:v>1</c:v>
                </c:pt>
                <c:pt idx="102">
                  <c:v>Not Provided</c:v>
                </c:pt>
                <c:pt idx="103">
                  <c:v>Not Provided</c:v>
                </c:pt>
                <c:pt idx="104">
                  <c:v>Not Provided</c:v>
                </c:pt>
                <c:pt idx="105">
                  <c:v>Not Provided</c:v>
                </c:pt>
                <c:pt idx="106">
                  <c:v>Not Provided</c:v>
                </c:pt>
                <c:pt idx="107">
                  <c:v>Not Provided</c:v>
                </c:pt>
                <c:pt idx="108">
                  <c:v>Not Provided</c:v>
                </c:pt>
                <c:pt idx="109">
                  <c:v>Not Provided</c:v>
                </c:pt>
                <c:pt idx="110">
                  <c:v>1</c:v>
                </c:pt>
                <c:pt idx="111">
                  <c:v>Not Provided</c:v>
                </c:pt>
              </c:strCache>
            </c:strRef>
          </c:xVal>
          <c:yVal>
            <c:numRef>
              <c:f>'2b&amp; d. Rat&amp;Rev'!$B$2:$B$113</c:f>
              <c:numCache>
                <c:formatCode>General</c:formatCode>
                <c:ptCount val="112"/>
                <c:pt idx="0">
                  <c:v>4.5</c:v>
                </c:pt>
                <c:pt idx="1">
                  <c:v>4.0999999999999996</c:v>
                </c:pt>
                <c:pt idx="2">
                  <c:v>4.5999999999999996</c:v>
                </c:pt>
                <c:pt idx="3">
                  <c:v>4.7</c:v>
                </c:pt>
                <c:pt idx="4">
                  <c:v>4.8</c:v>
                </c:pt>
                <c:pt idx="5">
                  <c:v>4</c:v>
                </c:pt>
                <c:pt idx="6">
                  <c:v>4.5999999999999996</c:v>
                </c:pt>
                <c:pt idx="7">
                  <c:v>4</c:v>
                </c:pt>
                <c:pt idx="8">
                  <c:v>4.8</c:v>
                </c:pt>
                <c:pt idx="9">
                  <c:v>3.8</c:v>
                </c:pt>
                <c:pt idx="10">
                  <c:v>4.0999999999999996</c:v>
                </c:pt>
                <c:pt idx="11">
                  <c:v>4.7</c:v>
                </c:pt>
                <c:pt idx="12">
                  <c:v>4.8</c:v>
                </c:pt>
                <c:pt idx="13">
                  <c:v>4.5</c:v>
                </c:pt>
                <c:pt idx="14">
                  <c:v>4.2</c:v>
                </c:pt>
                <c:pt idx="15">
                  <c:v>5</c:v>
                </c:pt>
                <c:pt idx="16">
                  <c:v>5</c:v>
                </c:pt>
                <c:pt idx="17">
                  <c:v>5</c:v>
                </c:pt>
                <c:pt idx="18">
                  <c:v>4.5999999999999996</c:v>
                </c:pt>
                <c:pt idx="19">
                  <c:v>4.5999999999999996</c:v>
                </c:pt>
                <c:pt idx="20">
                  <c:v>3.3</c:v>
                </c:pt>
                <c:pt idx="21">
                  <c:v>0</c:v>
                </c:pt>
                <c:pt idx="22">
                  <c:v>4</c:v>
                </c:pt>
                <c:pt idx="23">
                  <c:v>4.4000000000000004</c:v>
                </c:pt>
                <c:pt idx="24">
                  <c:v>4.3</c:v>
                </c:pt>
                <c:pt idx="25">
                  <c:v>4.5999999999999996</c:v>
                </c:pt>
                <c:pt idx="26">
                  <c:v>3.8</c:v>
                </c:pt>
                <c:pt idx="27">
                  <c:v>3.8</c:v>
                </c:pt>
                <c:pt idx="28">
                  <c:v>4.0999999999999996</c:v>
                </c:pt>
                <c:pt idx="29">
                  <c:v>0</c:v>
                </c:pt>
                <c:pt idx="30">
                  <c:v>4.3</c:v>
                </c:pt>
                <c:pt idx="31">
                  <c:v>4.7</c:v>
                </c:pt>
                <c:pt idx="32">
                  <c:v>4.3</c:v>
                </c:pt>
                <c:pt idx="33">
                  <c:v>4.7</c:v>
                </c:pt>
                <c:pt idx="34">
                  <c:v>4.5</c:v>
                </c:pt>
                <c:pt idx="35">
                  <c:v>5</c:v>
                </c:pt>
                <c:pt idx="36">
                  <c:v>5</c:v>
                </c:pt>
                <c:pt idx="37">
                  <c:v>4.3</c:v>
                </c:pt>
                <c:pt idx="38">
                  <c:v>4.5</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2.5</c:v>
                </c:pt>
                <c:pt idx="60">
                  <c:v>3</c:v>
                </c:pt>
                <c:pt idx="61">
                  <c:v>2.1</c:v>
                </c:pt>
                <c:pt idx="62">
                  <c:v>2.8</c:v>
                </c:pt>
                <c:pt idx="63">
                  <c:v>2.7</c:v>
                </c:pt>
                <c:pt idx="64">
                  <c:v>2.9</c:v>
                </c:pt>
                <c:pt idx="65">
                  <c:v>2.2000000000000002</c:v>
                </c:pt>
                <c:pt idx="66">
                  <c:v>2.2999999999999998</c:v>
                </c:pt>
                <c:pt idx="67">
                  <c:v>3</c:v>
                </c:pt>
                <c:pt idx="68">
                  <c:v>2.6</c:v>
                </c:pt>
                <c:pt idx="69">
                  <c:v>3</c:v>
                </c:pt>
                <c:pt idx="70">
                  <c:v>2.2999999999999998</c:v>
                </c:pt>
                <c:pt idx="71">
                  <c:v>3</c:v>
                </c:pt>
                <c:pt idx="72">
                  <c:v>2.2000000000000002</c:v>
                </c:pt>
                <c:pt idx="73">
                  <c:v>2.1</c:v>
                </c:pt>
                <c:pt idx="74">
                  <c:v>0</c:v>
                </c:pt>
                <c:pt idx="75">
                  <c:v>0</c:v>
                </c:pt>
                <c:pt idx="76">
                  <c:v>0</c:v>
                </c:pt>
                <c:pt idx="77">
                  <c:v>0</c:v>
                </c:pt>
                <c:pt idx="78">
                  <c:v>3</c:v>
                </c:pt>
                <c:pt idx="79">
                  <c:v>5</c:v>
                </c:pt>
                <c:pt idx="80">
                  <c:v>0</c:v>
                </c:pt>
                <c:pt idx="81">
                  <c:v>0</c:v>
                </c:pt>
                <c:pt idx="82">
                  <c:v>4</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5</c:v>
                </c:pt>
                <c:pt idx="102">
                  <c:v>0</c:v>
                </c:pt>
                <c:pt idx="103">
                  <c:v>0</c:v>
                </c:pt>
                <c:pt idx="104">
                  <c:v>0</c:v>
                </c:pt>
                <c:pt idx="105">
                  <c:v>0</c:v>
                </c:pt>
                <c:pt idx="106">
                  <c:v>0</c:v>
                </c:pt>
                <c:pt idx="107">
                  <c:v>0</c:v>
                </c:pt>
                <c:pt idx="108">
                  <c:v>0</c:v>
                </c:pt>
                <c:pt idx="109">
                  <c:v>0</c:v>
                </c:pt>
                <c:pt idx="110">
                  <c:v>2</c:v>
                </c:pt>
                <c:pt idx="111">
                  <c:v>0</c:v>
                </c:pt>
              </c:numCache>
            </c:numRef>
          </c:yVal>
          <c:smooth val="0"/>
          <c:extLst>
            <c:ext xmlns:c16="http://schemas.microsoft.com/office/drawing/2014/chart" uri="{C3380CC4-5D6E-409C-BE32-E72D297353CC}">
              <c16:uniqueId val="{00000000-73DA-4492-9ABA-85DDDF2930EB}"/>
            </c:ext>
          </c:extLst>
        </c:ser>
        <c:dLbls>
          <c:showLegendKey val="0"/>
          <c:showVal val="0"/>
          <c:showCatName val="0"/>
          <c:showSerName val="0"/>
          <c:showPercent val="0"/>
          <c:showBubbleSize val="0"/>
        </c:dLbls>
        <c:axId val="415358608"/>
        <c:axId val="415350928"/>
      </c:scatterChart>
      <c:valAx>
        <c:axId val="41535860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Review</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5350928"/>
        <c:crosses val="autoZero"/>
        <c:crossBetween val="midCat"/>
      </c:valAx>
      <c:valAx>
        <c:axId val="41535092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Rating</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5358608"/>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[Excel_jumia.xlsx]Dashboard Pivots!PivotTable8</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chemeClr val="accent2">
                    <a:lumMod val="75000"/>
                  </a:schemeClr>
                </a:solidFill>
              </a:rPr>
              <a:t>Distribution of Products by Rating Category</a:t>
            </a:r>
            <a:endParaRPr lang="en-US" b="1">
              <a:solidFill>
                <a:schemeClr val="accent2">
                  <a:lumMod val="7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2">
              <a:shade val="58000"/>
            </a:schemeClr>
          </a:solidFill>
          <a:ln w="19050">
            <a:solidFill>
              <a:schemeClr val="lt1"/>
            </a:solidFill>
          </a:ln>
          <a:effectLst/>
        </c:spPr>
      </c:pivotFmt>
      <c:pivotFmt>
        <c:idx val="3"/>
        <c:spPr>
          <a:solidFill>
            <a:schemeClr val="accent2">
              <a:shade val="86000"/>
            </a:schemeClr>
          </a:solidFill>
          <a:ln w="19050">
            <a:solidFill>
              <a:schemeClr val="lt1"/>
            </a:solidFill>
          </a:ln>
          <a:effectLst/>
        </c:spPr>
      </c:pivotFmt>
      <c:pivotFmt>
        <c:idx val="4"/>
        <c:spPr>
          <a:solidFill>
            <a:schemeClr val="accent2">
              <a:tint val="86000"/>
            </a:schemeClr>
          </a:solidFill>
          <a:ln w="19050">
            <a:solidFill>
              <a:schemeClr val="lt1"/>
            </a:solidFill>
          </a:ln>
          <a:effectLst/>
        </c:spPr>
      </c:pivotFmt>
      <c:pivotFmt>
        <c:idx val="5"/>
        <c:spPr>
          <a:solidFill>
            <a:schemeClr val="accent2">
              <a:tint val="58000"/>
            </a:schemeClr>
          </a:solidFill>
          <a:ln w="19050">
            <a:solidFill>
              <a:schemeClr val="lt1"/>
            </a:solidFill>
          </a:ln>
          <a:effectLst/>
        </c:spPr>
      </c:pivotFmt>
      <c:pivotFmt>
        <c:idx val="6"/>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2">
              <a:shade val="58000"/>
            </a:schemeClr>
          </a:solidFill>
          <a:ln w="19050">
            <a:solidFill>
              <a:schemeClr val="lt1"/>
            </a:solidFill>
          </a:ln>
          <a:effectLst/>
        </c:spPr>
      </c:pivotFmt>
      <c:pivotFmt>
        <c:idx val="8"/>
        <c:spPr>
          <a:solidFill>
            <a:schemeClr val="accent2">
              <a:shade val="86000"/>
            </a:schemeClr>
          </a:solidFill>
          <a:ln w="19050">
            <a:solidFill>
              <a:schemeClr val="lt1"/>
            </a:solidFill>
          </a:ln>
          <a:effectLst/>
        </c:spPr>
      </c:pivotFmt>
      <c:pivotFmt>
        <c:idx val="9"/>
        <c:spPr>
          <a:solidFill>
            <a:schemeClr val="accent2">
              <a:tint val="86000"/>
            </a:schemeClr>
          </a:solidFill>
          <a:ln w="19050">
            <a:solidFill>
              <a:schemeClr val="lt1"/>
            </a:solidFill>
          </a:ln>
          <a:effectLst/>
        </c:spPr>
      </c:pivotFmt>
      <c:pivotFmt>
        <c:idx val="10"/>
        <c:spPr>
          <a:solidFill>
            <a:schemeClr val="accent2">
              <a:tint val="58000"/>
            </a:schemeClr>
          </a:solidFill>
          <a:ln w="19050">
            <a:solidFill>
              <a:schemeClr val="lt1"/>
            </a:solidFill>
          </a:ln>
          <a:effectLst/>
        </c:spPr>
      </c:pivotFmt>
    </c:pivotFmts>
    <c:plotArea>
      <c:layout/>
      <c:doughnutChart>
        <c:varyColors val="1"/>
        <c:ser>
          <c:idx val="0"/>
          <c:order val="0"/>
          <c:tx>
            <c:strRef>
              <c:f>'Dashboard Pivots'!$B$7</c:f>
              <c:strCache>
                <c:ptCount val="1"/>
                <c:pt idx="0">
                  <c:v>Total</c:v>
                </c:pt>
              </c:strCache>
            </c:strRef>
          </c:tx>
          <c:dPt>
            <c:idx val="0"/>
            <c:bubble3D val="0"/>
            <c:spPr>
              <a:solidFill>
                <a:schemeClr val="accent2">
                  <a:shade val="58000"/>
                </a:schemeClr>
              </a:solidFill>
              <a:ln w="19050">
                <a:solidFill>
                  <a:schemeClr val="lt1"/>
                </a:solidFill>
              </a:ln>
              <a:effectLst/>
            </c:spPr>
            <c:extLst>
              <c:ext xmlns:c16="http://schemas.microsoft.com/office/drawing/2014/chart" uri="{C3380CC4-5D6E-409C-BE32-E72D297353CC}">
                <c16:uniqueId val="{00000001-1818-418E-BB8D-16A5891AFB63}"/>
              </c:ext>
            </c:extLst>
          </c:dPt>
          <c:dPt>
            <c:idx val="1"/>
            <c:bubble3D val="0"/>
            <c:spPr>
              <a:solidFill>
                <a:schemeClr val="accent2">
                  <a:shade val="86000"/>
                </a:schemeClr>
              </a:solidFill>
              <a:ln w="19050">
                <a:solidFill>
                  <a:schemeClr val="lt1"/>
                </a:solidFill>
              </a:ln>
              <a:effectLst/>
            </c:spPr>
            <c:extLst>
              <c:ext xmlns:c16="http://schemas.microsoft.com/office/drawing/2014/chart" uri="{C3380CC4-5D6E-409C-BE32-E72D297353CC}">
                <c16:uniqueId val="{00000003-1818-418E-BB8D-16A5891AFB63}"/>
              </c:ext>
            </c:extLst>
          </c:dPt>
          <c:dPt>
            <c:idx val="2"/>
            <c:bubble3D val="0"/>
            <c:spPr>
              <a:solidFill>
                <a:schemeClr val="accent2">
                  <a:tint val="86000"/>
                </a:schemeClr>
              </a:solidFill>
              <a:ln w="19050">
                <a:solidFill>
                  <a:schemeClr val="lt1"/>
                </a:solidFill>
              </a:ln>
              <a:effectLst/>
            </c:spPr>
            <c:extLst>
              <c:ext xmlns:c16="http://schemas.microsoft.com/office/drawing/2014/chart" uri="{C3380CC4-5D6E-409C-BE32-E72D297353CC}">
                <c16:uniqueId val="{00000005-1818-418E-BB8D-16A5891AFB63}"/>
              </c:ext>
            </c:extLst>
          </c:dPt>
          <c:dPt>
            <c:idx val="3"/>
            <c:bubble3D val="0"/>
            <c:spPr>
              <a:solidFill>
                <a:schemeClr val="accent2">
                  <a:tint val="58000"/>
                </a:schemeClr>
              </a:solidFill>
              <a:ln w="19050">
                <a:solidFill>
                  <a:schemeClr val="lt1"/>
                </a:solidFill>
              </a:ln>
              <a:effectLst/>
            </c:spPr>
            <c:extLst>
              <c:ext xmlns:c16="http://schemas.microsoft.com/office/drawing/2014/chart" uri="{C3380CC4-5D6E-409C-BE32-E72D297353CC}">
                <c16:uniqueId val="{00000007-1818-418E-BB8D-16A5891AFB6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'Dashboard Pivots'!$A$8:$A$12</c:f>
              <c:strCache>
                <c:ptCount val="4"/>
                <c:pt idx="0">
                  <c:v>Average</c:v>
                </c:pt>
                <c:pt idx="1">
                  <c:v>Excellent</c:v>
                </c:pt>
                <c:pt idx="2">
                  <c:v>Not Provided</c:v>
                </c:pt>
                <c:pt idx="3">
                  <c:v>Poor</c:v>
                </c:pt>
              </c:strCache>
            </c:strRef>
          </c:cat>
          <c:val>
            <c:numRef>
              <c:f>'Dashboard Pivots'!$B$8:$B$12</c:f>
              <c:numCache>
                <c:formatCode>General</c:formatCode>
                <c:ptCount val="4"/>
                <c:pt idx="0">
                  <c:v>22</c:v>
                </c:pt>
                <c:pt idx="1">
                  <c:v>23</c:v>
                </c:pt>
                <c:pt idx="2">
                  <c:v>55</c:v>
                </c:pt>
                <c:pt idx="3">
                  <c:v>12</c:v>
                </c:pt>
              </c:numCache>
            </c:numRef>
          </c:val>
          <c:extLst>
            <c:ext xmlns:c16="http://schemas.microsoft.com/office/drawing/2014/chart" uri="{C3380CC4-5D6E-409C-BE32-E72D297353CC}">
              <c16:uniqueId val="{00000008-1818-418E-BB8D-16A5891AFB63}"/>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[Excel_jumia.xlsx]Dashboard Pivots!PivotTable9</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chemeClr val="accent2">
                    <a:lumMod val="75000"/>
                  </a:schemeClr>
                </a:solidFill>
              </a:rPr>
              <a:t>Distribution of Products by Discount Category</a:t>
            </a:r>
            <a:endParaRPr lang="en-US" b="1">
              <a:solidFill>
                <a:schemeClr val="accent2">
                  <a:lumMod val="7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hade val="65000"/>
            </a:schemeClr>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2">
              <a:tint val="65000"/>
            </a:schemeClr>
          </a:solidFill>
          <a:ln w="19050">
            <a:solidFill>
              <a:schemeClr val="lt1"/>
            </a:solidFill>
          </a:ln>
          <a:effectLst/>
        </c:spPr>
      </c:pivotFmt>
      <c:pivotFmt>
        <c:idx val="5"/>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hade val="65000"/>
            </a:schemeClr>
          </a:solidFill>
          <a:ln w="19050">
            <a:solidFill>
              <a:schemeClr val="lt1"/>
            </a:solidFill>
          </a:ln>
          <a:effectLst/>
        </c:spPr>
      </c:pivotFmt>
      <c:pivotFmt>
        <c:idx val="7"/>
        <c:spPr>
          <a:solidFill>
            <a:schemeClr val="accent2"/>
          </a:solidFill>
          <a:ln w="19050">
            <a:solidFill>
              <a:schemeClr val="lt1"/>
            </a:solidFill>
          </a:ln>
          <a:effectLst/>
        </c:spPr>
      </c:pivotFmt>
      <c:pivotFmt>
        <c:idx val="8"/>
        <c:spPr>
          <a:solidFill>
            <a:schemeClr val="accent2">
              <a:tint val="65000"/>
            </a:schemeClr>
          </a:solidFill>
          <a:ln w="19050">
            <a:solidFill>
              <a:schemeClr val="lt1"/>
            </a:solidFill>
          </a:ln>
          <a:effectLst/>
        </c:spPr>
      </c:pivotFmt>
    </c:pivotFmts>
    <c:plotArea>
      <c:layout/>
      <c:pieChart>
        <c:varyColors val="1"/>
        <c:ser>
          <c:idx val="0"/>
          <c:order val="0"/>
          <c:tx>
            <c:strRef>
              <c:f>'Dashboard Pivots'!$G$3</c:f>
              <c:strCache>
                <c:ptCount val="1"/>
                <c:pt idx="0">
                  <c:v>Total</c:v>
                </c:pt>
              </c:strCache>
            </c:strRef>
          </c:tx>
          <c:dPt>
            <c:idx val="0"/>
            <c:bubble3D val="0"/>
            <c:spPr>
              <a:solidFill>
                <a:schemeClr val="accent2">
                  <a:shade val="65000"/>
                </a:schemeClr>
              </a:solidFill>
              <a:ln w="19050">
                <a:solidFill>
                  <a:schemeClr val="lt1"/>
                </a:solidFill>
              </a:ln>
              <a:effectLst/>
            </c:spPr>
            <c:extLst>
              <c:ext xmlns:c16="http://schemas.microsoft.com/office/drawing/2014/chart" uri="{C3380CC4-5D6E-409C-BE32-E72D297353CC}">
                <c16:uniqueId val="{00000001-3373-4619-B1A1-B33A60D9A74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373-4619-B1A1-B33A60D9A74F}"/>
              </c:ext>
            </c:extLst>
          </c:dPt>
          <c:dPt>
            <c:idx val="2"/>
            <c:bubble3D val="0"/>
            <c:spPr>
              <a:solidFill>
                <a:schemeClr val="accent2">
                  <a:tint val="65000"/>
                </a:schemeClr>
              </a:solidFill>
              <a:ln w="19050">
                <a:solidFill>
                  <a:schemeClr val="lt1"/>
                </a:solidFill>
              </a:ln>
              <a:effectLst/>
            </c:spPr>
            <c:extLst>
              <c:ext xmlns:c16="http://schemas.microsoft.com/office/drawing/2014/chart" uri="{C3380CC4-5D6E-409C-BE32-E72D297353CC}">
                <c16:uniqueId val="{00000005-3373-4619-B1A1-B33A60D9A74F}"/>
              </c:ext>
            </c:extLst>
          </c:dPt>
          <c:cat>
            <c:strRef>
              <c:f>'Dashboard Pivots'!$F$4:$F$7</c:f>
              <c:strCache>
                <c:ptCount val="3"/>
                <c:pt idx="0">
                  <c:v>High Discount</c:v>
                </c:pt>
                <c:pt idx="1">
                  <c:v>Low Discount</c:v>
                </c:pt>
                <c:pt idx="2">
                  <c:v>Medium Discount</c:v>
                </c:pt>
              </c:strCache>
            </c:strRef>
          </c:cat>
          <c:val>
            <c:numRef>
              <c:f>'Dashboard Pivots'!$G$4:$G$7</c:f>
              <c:numCache>
                <c:formatCode>General</c:formatCode>
                <c:ptCount val="3"/>
                <c:pt idx="0">
                  <c:v>62</c:v>
                </c:pt>
                <c:pt idx="1">
                  <c:v>18</c:v>
                </c:pt>
                <c:pt idx="2">
                  <c:v>32</c:v>
                </c:pt>
              </c:numCache>
            </c:numRef>
          </c:val>
          <c:extLst>
            <c:ext xmlns:c16="http://schemas.microsoft.com/office/drawing/2014/chart" uri="{C3380CC4-5D6E-409C-BE32-E72D297353CC}">
              <c16:uniqueId val="{00000006-3373-4619-B1A1-B33A60D9A74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[Excel_jumia.xlsx]3b. Prod&amp;Rev!PivotTable2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2">
                    <a:lumMod val="50000"/>
                  </a:schemeClr>
                </a:solidFill>
              </a:rPr>
              <a:t>Top</a:t>
            </a:r>
            <a:r>
              <a:rPr lang="en-US" b="1" baseline="0">
                <a:solidFill>
                  <a:schemeClr val="accent2">
                    <a:lumMod val="50000"/>
                  </a:schemeClr>
                </a:solidFill>
              </a:rPr>
              <a:t> Products By Number of Reviews</a:t>
            </a:r>
            <a:endParaRPr lang="en-US" b="1">
              <a:solidFill>
                <a:schemeClr val="accent2">
                  <a:lumMod val="50000"/>
                </a:schemeClr>
              </a:solidFill>
            </a:endParaRPr>
          </a:p>
        </c:rich>
      </c:tx>
      <c:layout>
        <c:manualLayout>
          <c:xMode val="edge"/>
          <c:yMode val="edge"/>
          <c:x val="0.52843744531933512"/>
          <c:y val="0.119349664625255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'3b. Prod&amp;Rev'!$B$3</c:f>
              <c:strCache>
                <c:ptCount val="1"/>
                <c:pt idx="0">
                  <c:v>Total</c:v>
                </c:pt>
              </c:strCache>
            </c:strRef>
          </c:tx>
          <c:spPr>
            <a:solidFill>
              <a:schemeClr val="accent2">
                <a:lumMod val="75000"/>
              </a:schemeClr>
            </a:solidFill>
            <a:ln>
              <a:noFill/>
            </a:ln>
            <a:effectLst/>
          </c:spPr>
          <c:invertIfNegative val="0"/>
          <c:cat>
            <c:strRef>
              <c:f>'3b. Prod&amp;Rev'!$A$4:$A$14</c:f>
              <c:strCache>
                <c:ptCount val="10"/>
                <c:pt idx="0">
                  <c:v>120W Cordless Vacuum Cleaners Handheld Electric Vacuum Cleaner</c:v>
                </c:pt>
                <c:pt idx="1">
                  <c:v>137 Pieces Cake Decorating Tool Set Baking Supplies</c:v>
                </c:pt>
                <c:pt idx="2">
                  <c:v>Electronic Digital Display Vernier Caliper</c:v>
                </c:pt>
                <c:pt idx="3">
                  <c:v>3D Waterproof EVA Plastic Shower Curtain 1.8*2Mtrs</c:v>
                </c:pt>
                <c:pt idx="4">
                  <c:v>100 Pcs Crochet Hook Tool Set Knitting Hook Set With Box</c:v>
                </c:pt>
                <c:pt idx="5">
                  <c:v>Punch-free Great Load Bearing Bathroom Storage Rack Wall Shelf-White</c:v>
                </c:pt>
                <c:pt idx="6">
                  <c:v>53 Pieces/Set Yarn Knitting Crochet Hooks With Bag - Pansies</c:v>
                </c:pt>
                <c:pt idx="7">
                  <c:v>Portable Mini Cordless Car Vacuum Cleaner - Blue</c:v>
                </c:pt>
                <c:pt idx="8">
                  <c:v>53Pcs/Set Yarn Knitting Crochet Hooks With Bag - Fortune Cat</c:v>
                </c:pt>
                <c:pt idx="9">
                  <c:v>52 Pieces Cake Decorating Tool Set Gift Kit Baking Supplies</c:v>
                </c:pt>
              </c:strCache>
            </c:strRef>
          </c:cat>
          <c:val>
            <c:numRef>
              <c:f>'3b. Prod&amp;Rev'!$B$4:$B$14</c:f>
              <c:numCache>
                <c:formatCode>General</c:formatCode>
                <c:ptCount val="10"/>
                <c:pt idx="0">
                  <c:v>69</c:v>
                </c:pt>
                <c:pt idx="1">
                  <c:v>55</c:v>
                </c:pt>
                <c:pt idx="2">
                  <c:v>49</c:v>
                </c:pt>
                <c:pt idx="3">
                  <c:v>44</c:v>
                </c:pt>
                <c:pt idx="4">
                  <c:v>39</c:v>
                </c:pt>
                <c:pt idx="5">
                  <c:v>36</c:v>
                </c:pt>
                <c:pt idx="6">
                  <c:v>32</c:v>
                </c:pt>
                <c:pt idx="7">
                  <c:v>24</c:v>
                </c:pt>
                <c:pt idx="8">
                  <c:v>20</c:v>
                </c:pt>
                <c:pt idx="9">
                  <c:v>20</c:v>
                </c:pt>
              </c:numCache>
            </c:numRef>
          </c:val>
          <c:extLst>
            <c:ext xmlns:c16="http://schemas.microsoft.com/office/drawing/2014/chart" uri="{C3380CC4-5D6E-409C-BE32-E72D297353CC}">
              <c16:uniqueId val="{00000000-D260-4A14-BB85-5960F00E6347}"/>
            </c:ext>
          </c:extLst>
        </c:ser>
        <c:dLbls>
          <c:showLegendKey val="0"/>
          <c:showVal val="0"/>
          <c:showCatName val="0"/>
          <c:showSerName val="0"/>
          <c:showPercent val="0"/>
          <c:showBubbleSize val="0"/>
        </c:dLbls>
        <c:gapWidth val="182"/>
        <c:axId val="440833040"/>
        <c:axId val="440834000"/>
      </c:barChart>
      <c:catAx>
        <c:axId val="44083304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Products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440834000"/>
        <c:crosses val="autoZero"/>
        <c:auto val="1"/>
        <c:lblAlgn val="ctr"/>
        <c:lblOffset val="100"/>
        <c:noMultiLvlLbl val="0"/>
      </c:catAx>
      <c:valAx>
        <c:axId val="44083400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a:t>
                </a:r>
                <a:r>
                  <a:rPr lang="en-US" baseline="0"/>
                  <a:t> of Reviews</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08330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[Excel_jumia.xlsx]3a. Prod&amp;Disc!PivotTable1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2">
                    <a:lumMod val="75000"/>
                  </a:schemeClr>
                </a:solidFill>
              </a:rPr>
              <a:t>Top</a:t>
            </a:r>
            <a:r>
              <a:rPr lang="en-US" b="1" baseline="0">
                <a:solidFill>
                  <a:schemeClr val="accent2">
                    <a:lumMod val="75000"/>
                  </a:schemeClr>
                </a:solidFill>
              </a:rPr>
              <a:t> Products by Discount Percentage</a:t>
            </a:r>
            <a:endParaRPr lang="en-US" b="1">
              <a:solidFill>
                <a:schemeClr val="accent2">
                  <a:lumMod val="7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'3a. Prod&amp;Disc'!$B$3</c:f>
              <c:strCache>
                <c:ptCount val="1"/>
                <c:pt idx="0">
                  <c:v>Total</c:v>
                </c:pt>
              </c:strCache>
            </c:strRef>
          </c:tx>
          <c:spPr>
            <a:solidFill>
              <a:schemeClr val="accent2">
                <a:lumMod val="75000"/>
              </a:schemeClr>
            </a:solidFill>
            <a:ln>
              <a:noFill/>
            </a:ln>
            <a:effectLst/>
          </c:spPr>
          <c:invertIfNegative val="0"/>
          <c:cat>
            <c:strRef>
              <c:f>'3a. Prod&amp;Disc'!$A$4:$A$14</c:f>
              <c:strCache>
                <c:ptCount val="10"/>
                <c:pt idx="0">
                  <c:v>6 In 1 Bottle Can Opener Multifunctional Easy Opener</c:v>
                </c:pt>
                <c:pt idx="1">
                  <c:v>5-PCS Stainless Steel Cooking Pot Set With Steamed Slices</c:v>
                </c:pt>
                <c:pt idx="2">
                  <c:v>Creative Owl Shape Keychain Black</c:v>
                </c:pt>
                <c:pt idx="3">
                  <c:v>LASA FOLDING TABLE SERVING STAND</c:v>
                </c:pt>
                <c:pt idx="4">
                  <c:v>LASA 3 Tier Bamboo Shoe Bench Storage Shelf</c:v>
                </c:pt>
                <c:pt idx="5">
                  <c:v>Mythco 120COB Solar Wall Ligt With Motion Sensor And Remote Control 3 Modes</c:v>
                </c:pt>
                <c:pt idx="6">
                  <c:v>3PCS Single Head Knitting Crochet Sweater Needle Set</c:v>
                </c:pt>
                <c:pt idx="7">
                  <c:v>Classic Black Cat Cotton Hemp Pillow Case For Home Car</c:v>
                </c:pt>
                <c:pt idx="8">
                  <c:v>Intelligent  LED Body Sensor Wireless Lighting Night Light USB</c:v>
                </c:pt>
                <c:pt idx="9">
                  <c:v>Exfoliate And Exfoliate Face Towel - Black</c:v>
                </c:pt>
              </c:strCache>
            </c:strRef>
          </c:cat>
          <c:val>
            <c:numRef>
              <c:f>'3a. Prod&amp;Disc'!$B$4:$B$14</c:f>
              <c:numCache>
                <c:formatCode>0.00%</c:formatCode>
                <c:ptCount val="10"/>
                <c:pt idx="0">
                  <c:v>0.64014466546112114</c:v>
                </c:pt>
                <c:pt idx="1">
                  <c:v>0.55000000000000004</c:v>
                </c:pt>
                <c:pt idx="2">
                  <c:v>0.54750690131124913</c:v>
                </c:pt>
                <c:pt idx="3">
                  <c:v>0.54500000000000004</c:v>
                </c:pt>
                <c:pt idx="4">
                  <c:v>0.54488888888888887</c:v>
                </c:pt>
                <c:pt idx="5">
                  <c:v>0.53549695740365111</c:v>
                </c:pt>
                <c:pt idx="6">
                  <c:v>0.52500000000000002</c:v>
                </c:pt>
                <c:pt idx="7">
                  <c:v>0.52500000000000002</c:v>
                </c:pt>
                <c:pt idx="8">
                  <c:v>0.5220588235294118</c:v>
                </c:pt>
                <c:pt idx="9">
                  <c:v>0.51570680628272247</c:v>
                </c:pt>
              </c:numCache>
            </c:numRef>
          </c:val>
          <c:extLst>
            <c:ext xmlns:c16="http://schemas.microsoft.com/office/drawing/2014/chart" uri="{C3380CC4-5D6E-409C-BE32-E72D297353CC}">
              <c16:uniqueId val="{00000000-2AB7-4DA4-8EF9-2C2623B36D9B}"/>
            </c:ext>
          </c:extLst>
        </c:ser>
        <c:dLbls>
          <c:showLegendKey val="0"/>
          <c:showVal val="0"/>
          <c:showCatName val="0"/>
          <c:showSerName val="0"/>
          <c:showPercent val="0"/>
          <c:showBubbleSize val="0"/>
        </c:dLbls>
        <c:gapWidth val="219"/>
        <c:overlap val="-27"/>
        <c:axId val="522584064"/>
        <c:axId val="522582624"/>
      </c:barChart>
      <c:catAx>
        <c:axId val="5225840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Products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522582624"/>
        <c:crosses val="autoZero"/>
        <c:auto val="1"/>
        <c:lblAlgn val="ctr"/>
        <c:lblOffset val="100"/>
        <c:noMultiLvlLbl val="0"/>
      </c:catAx>
      <c:valAx>
        <c:axId val="52258262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Discount(%)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5225840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2">
                    <a:lumMod val="75000"/>
                  </a:schemeClr>
                </a:solidFill>
              </a:rPr>
              <a:t>Rating</a:t>
            </a:r>
            <a:r>
              <a:rPr lang="en-US" b="1" baseline="0">
                <a:solidFill>
                  <a:schemeClr val="accent2">
                    <a:lumMod val="75000"/>
                  </a:schemeClr>
                </a:solidFill>
              </a:rPr>
              <a:t> Vs Number of Reviews</a:t>
            </a:r>
            <a:endParaRPr lang="en-US" b="1">
              <a:solidFill>
                <a:schemeClr val="accent2">
                  <a:lumMod val="7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'2b&amp; d. Rat&amp;Rev'!$B$1</c:f>
              <c:strCache>
                <c:ptCount val="1"/>
                <c:pt idx="0">
                  <c:v>Rating</c:v>
                </c:pt>
              </c:strCache>
            </c:strRef>
          </c:tx>
          <c:spPr>
            <a:ln w="38100" cap="rnd">
              <a:noFill/>
              <a:round/>
            </a:ln>
            <a:effectLst/>
          </c:spPr>
          <c:marker>
            <c:symbol val="circle"/>
            <c:size val="5"/>
            <c:spPr>
              <a:solidFill>
                <a:schemeClr val="accent1"/>
              </a:solidFill>
              <a:ln w="9525">
                <a:solidFill>
                  <a:schemeClr val="accent1"/>
                </a:solidFill>
              </a:ln>
              <a:effectLst/>
            </c:spPr>
          </c:marker>
          <c:xVal>
            <c:strRef>
              <c:f>'2b&amp; d. Rat&amp;Rev'!$A$2:$A$113</c:f>
              <c:strCache>
                <c:ptCount val="112"/>
                <c:pt idx="0">
                  <c:v>2</c:v>
                </c:pt>
                <c:pt idx="1">
                  <c:v>14</c:v>
                </c:pt>
                <c:pt idx="2">
                  <c:v>24</c:v>
                </c:pt>
                <c:pt idx="3">
                  <c:v>7</c:v>
                </c:pt>
                <c:pt idx="4">
                  <c:v>5</c:v>
                </c:pt>
                <c:pt idx="5">
                  <c:v>15</c:v>
                </c:pt>
                <c:pt idx="6">
                  <c:v>55</c:v>
                </c:pt>
                <c:pt idx="7">
                  <c:v>2</c:v>
                </c:pt>
                <c:pt idx="8">
                  <c:v>5</c:v>
                </c:pt>
                <c:pt idx="9">
                  <c:v>5</c:v>
                </c:pt>
                <c:pt idx="10">
                  <c:v>12</c:v>
                </c:pt>
                <c:pt idx="11">
                  <c:v>39</c:v>
                </c:pt>
                <c:pt idx="12">
                  <c:v>12</c:v>
                </c:pt>
                <c:pt idx="13">
                  <c:v>6</c:v>
                </c:pt>
                <c:pt idx="14">
                  <c:v>9</c:v>
                </c:pt>
                <c:pt idx="15">
                  <c:v>2</c:v>
                </c:pt>
                <c:pt idx="16">
                  <c:v>2</c:v>
                </c:pt>
                <c:pt idx="17">
                  <c:v>3</c:v>
                </c:pt>
                <c:pt idx="18">
                  <c:v>5</c:v>
                </c:pt>
                <c:pt idx="19">
                  <c:v>44</c:v>
                </c:pt>
                <c:pt idx="20">
                  <c:v>13</c:v>
                </c:pt>
                <c:pt idx="21">
                  <c:v>Not Provided</c:v>
                </c:pt>
                <c:pt idx="22">
                  <c:v>6</c:v>
                </c:pt>
                <c:pt idx="23">
                  <c:v>14</c:v>
                </c:pt>
                <c:pt idx="24">
                  <c:v>7</c:v>
                </c:pt>
                <c:pt idx="25">
                  <c:v>49</c:v>
                </c:pt>
                <c:pt idx="26">
                  <c:v>12</c:v>
                </c:pt>
                <c:pt idx="27">
                  <c:v>13</c:v>
                </c:pt>
                <c:pt idx="28">
                  <c:v>20</c:v>
                </c:pt>
                <c:pt idx="29">
                  <c:v>Not Provided</c:v>
                </c:pt>
                <c:pt idx="30">
                  <c:v>9</c:v>
                </c:pt>
                <c:pt idx="31">
                  <c:v>12</c:v>
                </c:pt>
                <c:pt idx="32">
                  <c:v>9</c:v>
                </c:pt>
                <c:pt idx="33">
                  <c:v>20</c:v>
                </c:pt>
                <c:pt idx="34">
                  <c:v>32</c:v>
                </c:pt>
                <c:pt idx="35">
                  <c:v>1</c:v>
                </c:pt>
                <c:pt idx="36">
                  <c:v>2</c:v>
                </c:pt>
                <c:pt idx="37">
                  <c:v>36</c:v>
                </c:pt>
                <c:pt idx="38">
                  <c:v>2</c:v>
                </c:pt>
                <c:pt idx="39">
                  <c:v>Not Provided</c:v>
                </c:pt>
                <c:pt idx="40">
                  <c:v>Not Provided</c:v>
                </c:pt>
                <c:pt idx="41">
                  <c:v>Not Provided</c:v>
                </c:pt>
                <c:pt idx="42">
                  <c:v>Not Provided</c:v>
                </c:pt>
                <c:pt idx="43">
                  <c:v>Not Provided</c:v>
                </c:pt>
                <c:pt idx="44">
                  <c:v>Not Provided</c:v>
                </c:pt>
                <c:pt idx="45">
                  <c:v>Not Provided</c:v>
                </c:pt>
                <c:pt idx="46">
                  <c:v>Not Provided</c:v>
                </c:pt>
                <c:pt idx="47">
                  <c:v>Not Provided</c:v>
                </c:pt>
                <c:pt idx="48">
                  <c:v>Not Provided</c:v>
                </c:pt>
                <c:pt idx="49">
                  <c:v>Not Provided</c:v>
                </c:pt>
                <c:pt idx="50">
                  <c:v>Not Provided</c:v>
                </c:pt>
                <c:pt idx="51">
                  <c:v>Not Provided</c:v>
                </c:pt>
                <c:pt idx="52">
                  <c:v>Not Provided</c:v>
                </c:pt>
                <c:pt idx="53">
                  <c:v>Not Provided</c:v>
                </c:pt>
                <c:pt idx="54">
                  <c:v>Not Provided</c:v>
                </c:pt>
                <c:pt idx="55">
                  <c:v>Not Provided</c:v>
                </c:pt>
                <c:pt idx="56">
                  <c:v>Not Provided</c:v>
                </c:pt>
                <c:pt idx="57">
                  <c:v>Not Provided</c:v>
                </c:pt>
                <c:pt idx="58">
                  <c:v>Not Provided</c:v>
                </c:pt>
                <c:pt idx="59">
                  <c:v>6</c:v>
                </c:pt>
                <c:pt idx="60">
                  <c:v>10</c:v>
                </c:pt>
                <c:pt idx="61">
                  <c:v>13</c:v>
                </c:pt>
                <c:pt idx="62">
                  <c:v>69</c:v>
                </c:pt>
                <c:pt idx="63">
                  <c:v>15</c:v>
                </c:pt>
                <c:pt idx="64">
                  <c:v>16</c:v>
                </c:pt>
                <c:pt idx="65">
                  <c:v>6</c:v>
                </c:pt>
                <c:pt idx="66">
                  <c:v>7</c:v>
                </c:pt>
                <c:pt idx="67">
                  <c:v>5</c:v>
                </c:pt>
                <c:pt idx="68">
                  <c:v>17</c:v>
                </c:pt>
                <c:pt idx="69">
                  <c:v>5</c:v>
                </c:pt>
                <c:pt idx="70">
                  <c:v>6</c:v>
                </c:pt>
                <c:pt idx="71">
                  <c:v>5</c:v>
                </c:pt>
                <c:pt idx="72">
                  <c:v>6</c:v>
                </c:pt>
                <c:pt idx="73">
                  <c:v>7</c:v>
                </c:pt>
                <c:pt idx="74">
                  <c:v>Not Provided</c:v>
                </c:pt>
                <c:pt idx="75">
                  <c:v>Not Provided</c:v>
                </c:pt>
                <c:pt idx="76">
                  <c:v>Not Provided</c:v>
                </c:pt>
                <c:pt idx="77">
                  <c:v>Not Provided</c:v>
                </c:pt>
                <c:pt idx="78">
                  <c:v>1</c:v>
                </c:pt>
                <c:pt idx="79">
                  <c:v>1</c:v>
                </c:pt>
                <c:pt idx="80">
                  <c:v>Not Provided</c:v>
                </c:pt>
                <c:pt idx="81">
                  <c:v>Not Provided</c:v>
                </c:pt>
                <c:pt idx="82">
                  <c:v>1</c:v>
                </c:pt>
                <c:pt idx="83">
                  <c:v>Not Provided</c:v>
                </c:pt>
                <c:pt idx="84">
                  <c:v>Not Provided</c:v>
                </c:pt>
                <c:pt idx="85">
                  <c:v>Not Provided</c:v>
                </c:pt>
                <c:pt idx="86">
                  <c:v>Not Provided</c:v>
                </c:pt>
                <c:pt idx="87">
                  <c:v>Not Provided</c:v>
                </c:pt>
                <c:pt idx="88">
                  <c:v>Not Provided</c:v>
                </c:pt>
                <c:pt idx="89">
                  <c:v>Not Provided</c:v>
                </c:pt>
                <c:pt idx="90">
                  <c:v>Not Provided</c:v>
                </c:pt>
                <c:pt idx="91">
                  <c:v>Not Provided</c:v>
                </c:pt>
                <c:pt idx="92">
                  <c:v>Not Provided</c:v>
                </c:pt>
                <c:pt idx="93">
                  <c:v>Not Provided</c:v>
                </c:pt>
                <c:pt idx="94">
                  <c:v>Not Provided</c:v>
                </c:pt>
                <c:pt idx="95">
                  <c:v>Not Provided</c:v>
                </c:pt>
                <c:pt idx="96">
                  <c:v>Not Provided</c:v>
                </c:pt>
                <c:pt idx="97">
                  <c:v>Not Provided</c:v>
                </c:pt>
                <c:pt idx="98">
                  <c:v>Not Provided</c:v>
                </c:pt>
                <c:pt idx="99">
                  <c:v>Not Provided</c:v>
                </c:pt>
                <c:pt idx="100">
                  <c:v>Not Provided</c:v>
                </c:pt>
                <c:pt idx="101">
                  <c:v>1</c:v>
                </c:pt>
                <c:pt idx="102">
                  <c:v>Not Provided</c:v>
                </c:pt>
                <c:pt idx="103">
                  <c:v>Not Provided</c:v>
                </c:pt>
                <c:pt idx="104">
                  <c:v>Not Provided</c:v>
                </c:pt>
                <c:pt idx="105">
                  <c:v>Not Provided</c:v>
                </c:pt>
                <c:pt idx="106">
                  <c:v>Not Provided</c:v>
                </c:pt>
                <c:pt idx="107">
                  <c:v>Not Provided</c:v>
                </c:pt>
                <c:pt idx="108">
                  <c:v>Not Provided</c:v>
                </c:pt>
                <c:pt idx="109">
                  <c:v>Not Provided</c:v>
                </c:pt>
                <c:pt idx="110">
                  <c:v>1</c:v>
                </c:pt>
                <c:pt idx="111">
                  <c:v>Not Provided</c:v>
                </c:pt>
              </c:strCache>
            </c:strRef>
          </c:xVal>
          <c:yVal>
            <c:numRef>
              <c:f>'2b&amp; d. Rat&amp;Rev'!$B$2:$B$113</c:f>
              <c:numCache>
                <c:formatCode>General</c:formatCode>
                <c:ptCount val="112"/>
                <c:pt idx="0">
                  <c:v>4.5</c:v>
                </c:pt>
                <c:pt idx="1">
                  <c:v>4.0999999999999996</c:v>
                </c:pt>
                <c:pt idx="2">
                  <c:v>4.5999999999999996</c:v>
                </c:pt>
                <c:pt idx="3">
                  <c:v>4.7</c:v>
                </c:pt>
                <c:pt idx="4">
                  <c:v>4.8</c:v>
                </c:pt>
                <c:pt idx="5">
                  <c:v>4</c:v>
                </c:pt>
                <c:pt idx="6">
                  <c:v>4.5999999999999996</c:v>
                </c:pt>
                <c:pt idx="7">
                  <c:v>4</c:v>
                </c:pt>
                <c:pt idx="8">
                  <c:v>4.8</c:v>
                </c:pt>
                <c:pt idx="9">
                  <c:v>3.8</c:v>
                </c:pt>
                <c:pt idx="10">
                  <c:v>4.0999999999999996</c:v>
                </c:pt>
                <c:pt idx="11">
                  <c:v>4.7</c:v>
                </c:pt>
                <c:pt idx="12">
                  <c:v>4.8</c:v>
                </c:pt>
                <c:pt idx="13">
                  <c:v>4.5</c:v>
                </c:pt>
                <c:pt idx="14">
                  <c:v>4.2</c:v>
                </c:pt>
                <c:pt idx="15">
                  <c:v>5</c:v>
                </c:pt>
                <c:pt idx="16">
                  <c:v>5</c:v>
                </c:pt>
                <c:pt idx="17">
                  <c:v>5</c:v>
                </c:pt>
                <c:pt idx="18">
                  <c:v>4.5999999999999996</c:v>
                </c:pt>
                <c:pt idx="19">
                  <c:v>4.5999999999999996</c:v>
                </c:pt>
                <c:pt idx="20">
                  <c:v>3.3</c:v>
                </c:pt>
                <c:pt idx="21">
                  <c:v>0</c:v>
                </c:pt>
                <c:pt idx="22">
                  <c:v>4</c:v>
                </c:pt>
                <c:pt idx="23">
                  <c:v>4.4000000000000004</c:v>
                </c:pt>
                <c:pt idx="24">
                  <c:v>4.3</c:v>
                </c:pt>
                <c:pt idx="25">
                  <c:v>4.5999999999999996</c:v>
                </c:pt>
                <c:pt idx="26">
                  <c:v>3.8</c:v>
                </c:pt>
                <c:pt idx="27">
                  <c:v>3.8</c:v>
                </c:pt>
                <c:pt idx="28">
                  <c:v>4.0999999999999996</c:v>
                </c:pt>
                <c:pt idx="29">
                  <c:v>0</c:v>
                </c:pt>
                <c:pt idx="30">
                  <c:v>4.3</c:v>
                </c:pt>
                <c:pt idx="31">
                  <c:v>4.7</c:v>
                </c:pt>
                <c:pt idx="32">
                  <c:v>4.3</c:v>
                </c:pt>
                <c:pt idx="33">
                  <c:v>4.7</c:v>
                </c:pt>
                <c:pt idx="34">
                  <c:v>4.5</c:v>
                </c:pt>
                <c:pt idx="35">
                  <c:v>5</c:v>
                </c:pt>
                <c:pt idx="36">
                  <c:v>5</c:v>
                </c:pt>
                <c:pt idx="37">
                  <c:v>4.3</c:v>
                </c:pt>
                <c:pt idx="38">
                  <c:v>4.5</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2.5</c:v>
                </c:pt>
                <c:pt idx="60">
                  <c:v>3</c:v>
                </c:pt>
                <c:pt idx="61">
                  <c:v>2.1</c:v>
                </c:pt>
                <c:pt idx="62">
                  <c:v>2.8</c:v>
                </c:pt>
                <c:pt idx="63">
                  <c:v>2.7</c:v>
                </c:pt>
                <c:pt idx="64">
                  <c:v>2.9</c:v>
                </c:pt>
                <c:pt idx="65">
                  <c:v>2.2000000000000002</c:v>
                </c:pt>
                <c:pt idx="66">
                  <c:v>2.2999999999999998</c:v>
                </c:pt>
                <c:pt idx="67">
                  <c:v>3</c:v>
                </c:pt>
                <c:pt idx="68">
                  <c:v>2.6</c:v>
                </c:pt>
                <c:pt idx="69">
                  <c:v>3</c:v>
                </c:pt>
                <c:pt idx="70">
                  <c:v>2.2999999999999998</c:v>
                </c:pt>
                <c:pt idx="71">
                  <c:v>3</c:v>
                </c:pt>
                <c:pt idx="72">
                  <c:v>2.2000000000000002</c:v>
                </c:pt>
                <c:pt idx="73">
                  <c:v>2.1</c:v>
                </c:pt>
                <c:pt idx="74">
                  <c:v>0</c:v>
                </c:pt>
                <c:pt idx="75">
                  <c:v>0</c:v>
                </c:pt>
                <c:pt idx="76">
                  <c:v>0</c:v>
                </c:pt>
                <c:pt idx="77">
                  <c:v>0</c:v>
                </c:pt>
                <c:pt idx="78">
                  <c:v>3</c:v>
                </c:pt>
                <c:pt idx="79">
                  <c:v>5</c:v>
                </c:pt>
                <c:pt idx="80">
                  <c:v>0</c:v>
                </c:pt>
                <c:pt idx="81">
                  <c:v>0</c:v>
                </c:pt>
                <c:pt idx="82">
                  <c:v>4</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5</c:v>
                </c:pt>
                <c:pt idx="102">
                  <c:v>0</c:v>
                </c:pt>
                <c:pt idx="103">
                  <c:v>0</c:v>
                </c:pt>
                <c:pt idx="104">
                  <c:v>0</c:v>
                </c:pt>
                <c:pt idx="105">
                  <c:v>0</c:v>
                </c:pt>
                <c:pt idx="106">
                  <c:v>0</c:v>
                </c:pt>
                <c:pt idx="107">
                  <c:v>0</c:v>
                </c:pt>
                <c:pt idx="108">
                  <c:v>0</c:v>
                </c:pt>
                <c:pt idx="109">
                  <c:v>0</c:v>
                </c:pt>
                <c:pt idx="110">
                  <c:v>2</c:v>
                </c:pt>
                <c:pt idx="111">
                  <c:v>0</c:v>
                </c:pt>
              </c:numCache>
            </c:numRef>
          </c:yVal>
          <c:smooth val="0"/>
          <c:extLst>
            <c:ext xmlns:c16="http://schemas.microsoft.com/office/drawing/2014/chart" uri="{C3380CC4-5D6E-409C-BE32-E72D297353CC}">
              <c16:uniqueId val="{00000000-6D76-4956-AD29-CF17A312A217}"/>
            </c:ext>
          </c:extLst>
        </c:ser>
        <c:dLbls>
          <c:showLegendKey val="0"/>
          <c:showVal val="0"/>
          <c:showCatName val="0"/>
          <c:showSerName val="0"/>
          <c:showPercent val="0"/>
          <c:showBubbleSize val="0"/>
        </c:dLbls>
        <c:axId val="415358608"/>
        <c:axId val="415350928"/>
      </c:scatterChart>
      <c:valAx>
        <c:axId val="41535860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Review</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5350928"/>
        <c:crosses val="autoZero"/>
        <c:crossBetween val="midCat"/>
      </c:valAx>
      <c:valAx>
        <c:axId val="41535092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Rating</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5358608"/>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2">
                    <a:lumMod val="75000"/>
                  </a:schemeClr>
                </a:solidFill>
              </a:rPr>
              <a:t>Discount</a:t>
            </a:r>
            <a:r>
              <a:rPr lang="en-US" b="1" baseline="0">
                <a:solidFill>
                  <a:schemeClr val="accent2">
                    <a:lumMod val="75000"/>
                  </a:schemeClr>
                </a:solidFill>
              </a:rPr>
              <a:t> Percentage Vs Number of Reviews</a:t>
            </a:r>
            <a:r>
              <a:rPr lang="en-US"/>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'2a&amp;c. Disc&amp;rev'!$B$1</c:f>
              <c:strCache>
                <c:ptCount val="1"/>
                <c:pt idx="0">
                  <c:v>Review </c:v>
                </c:pt>
              </c:strCache>
            </c:strRef>
          </c:tx>
          <c:spPr>
            <a:ln w="381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'2a&amp;c. Disc&amp;rev'!$A$2:$A$113</c:f>
              <c:numCache>
                <c:formatCode>0.00%</c:formatCode>
                <c:ptCount val="112"/>
                <c:pt idx="0">
                  <c:v>0.37704918032786883</c:v>
                </c:pt>
                <c:pt idx="1">
                  <c:v>0.47247247247247248</c:v>
                </c:pt>
                <c:pt idx="2">
                  <c:v>0.24769072870338693</c:v>
                </c:pt>
                <c:pt idx="3">
                  <c:v>0.36774709883953582</c:v>
                </c:pt>
                <c:pt idx="4">
                  <c:v>0.26146010186757218</c:v>
                </c:pt>
                <c:pt idx="5">
                  <c:v>8.8449848024316116E-2</c:v>
                </c:pt>
                <c:pt idx="6">
                  <c:v>0.23515831134564644</c:v>
                </c:pt>
                <c:pt idx="7">
                  <c:v>0.37468354430379747</c:v>
                </c:pt>
                <c:pt idx="8">
                  <c:v>0.54500000000000004</c:v>
                </c:pt>
                <c:pt idx="9">
                  <c:v>0.45373847729600547</c:v>
                </c:pt>
                <c:pt idx="10">
                  <c:v>0.20020020020020021</c:v>
                </c:pt>
                <c:pt idx="11">
                  <c:v>0.34</c:v>
                </c:pt>
                <c:pt idx="12">
                  <c:v>0.46666666666666667</c:v>
                </c:pt>
                <c:pt idx="13">
                  <c:v>0.41744186046511628</c:v>
                </c:pt>
                <c:pt idx="14">
                  <c:v>0.32773109243697479</c:v>
                </c:pt>
                <c:pt idx="15">
                  <c:v>0.51461988304093564</c:v>
                </c:pt>
                <c:pt idx="16">
                  <c:v>0.45833333333333331</c:v>
                </c:pt>
                <c:pt idx="17">
                  <c:v>0.49005288340468395</c:v>
                </c:pt>
                <c:pt idx="18">
                  <c:v>0.18924033522573669</c:v>
                </c:pt>
                <c:pt idx="19">
                  <c:v>0.49237029501525942</c:v>
                </c:pt>
                <c:pt idx="20">
                  <c:v>0.52500000000000002</c:v>
                </c:pt>
                <c:pt idx="21">
                  <c:v>0.42236024844720499</c:v>
                </c:pt>
                <c:pt idx="22">
                  <c:v>0.34814814814814815</c:v>
                </c:pt>
                <c:pt idx="23">
                  <c:v>0.23255813953488372</c:v>
                </c:pt>
                <c:pt idx="24">
                  <c:v>0.54488888888888887</c:v>
                </c:pt>
                <c:pt idx="25">
                  <c:v>0.3508500772797527</c:v>
                </c:pt>
                <c:pt idx="26">
                  <c:v>0.18181818181818182</c:v>
                </c:pt>
                <c:pt idx="27">
                  <c:v>0.32160804020100503</c:v>
                </c:pt>
                <c:pt idx="28">
                  <c:v>0.2965186074429772</c:v>
                </c:pt>
                <c:pt idx="29">
                  <c:v>0.46078431372549017</c:v>
                </c:pt>
                <c:pt idx="30">
                  <c:v>0.51570680628272247</c:v>
                </c:pt>
                <c:pt idx="31">
                  <c:v>0.34228187919463088</c:v>
                </c:pt>
                <c:pt idx="32">
                  <c:v>0.47851002865329512</c:v>
                </c:pt>
                <c:pt idx="33">
                  <c:v>0.26792452830188679</c:v>
                </c:pt>
                <c:pt idx="34">
                  <c:v>0.26639496109670247</c:v>
                </c:pt>
                <c:pt idx="35">
                  <c:v>0.39776951672862454</c:v>
                </c:pt>
                <c:pt idx="36">
                  <c:v>0.52500000000000002</c:v>
                </c:pt>
                <c:pt idx="37">
                  <c:v>0.40701219512195119</c:v>
                </c:pt>
                <c:pt idx="38">
                  <c:v>0.33333333333333331</c:v>
                </c:pt>
                <c:pt idx="39">
                  <c:v>0.38492507269067322</c:v>
                </c:pt>
                <c:pt idx="40">
                  <c:v>0.48979591836734693</c:v>
                </c:pt>
                <c:pt idx="41">
                  <c:v>0.5</c:v>
                </c:pt>
                <c:pt idx="42">
                  <c:v>0.42452830188679247</c:v>
                </c:pt>
                <c:pt idx="43">
                  <c:v>1.705855232826187E-2</c:v>
                </c:pt>
                <c:pt idx="44">
                  <c:v>0.50049999999999994</c:v>
                </c:pt>
                <c:pt idx="45">
                  <c:v>0.33333333333333331</c:v>
                </c:pt>
                <c:pt idx="46">
                  <c:v>0.49012158054711247</c:v>
                </c:pt>
                <c:pt idx="47">
                  <c:v>0.38461538461538464</c:v>
                </c:pt>
                <c:pt idx="48">
                  <c:v>0.60515873015873012</c:v>
                </c:pt>
                <c:pt idx="49">
                  <c:v>0.50166666666666671</c:v>
                </c:pt>
                <c:pt idx="50">
                  <c:v>2.2954679223072396E-2</c:v>
                </c:pt>
                <c:pt idx="51">
                  <c:v>0.22135416666666666</c:v>
                </c:pt>
                <c:pt idx="52">
                  <c:v>2.6684456304202801E-2</c:v>
                </c:pt>
                <c:pt idx="53">
                  <c:v>0.4050632911392405</c:v>
                </c:pt>
                <c:pt idx="54">
                  <c:v>0.44555555555555554</c:v>
                </c:pt>
                <c:pt idx="55">
                  <c:v>0.47952345495160087</c:v>
                </c:pt>
                <c:pt idx="56">
                  <c:v>0.49010848755583919</c:v>
                </c:pt>
                <c:pt idx="57">
                  <c:v>0.26535433070866143</c:v>
                </c:pt>
                <c:pt idx="58">
                  <c:v>0.5546875</c:v>
                </c:pt>
                <c:pt idx="59">
                  <c:v>0.13200000000000001</c:v>
                </c:pt>
                <c:pt idx="60">
                  <c:v>0.53549695740365111</c:v>
                </c:pt>
                <c:pt idx="61">
                  <c:v>0.55000000000000004</c:v>
                </c:pt>
                <c:pt idx="62">
                  <c:v>0.49026345933562426</c:v>
                </c:pt>
                <c:pt idx="63">
                  <c:v>0.5220588235294118</c:v>
                </c:pt>
                <c:pt idx="64">
                  <c:v>0.21543408360128619</c:v>
                </c:pt>
                <c:pt idx="65">
                  <c:v>0.45424476295479604</c:v>
                </c:pt>
                <c:pt idx="66">
                  <c:v>0.5</c:v>
                </c:pt>
                <c:pt idx="67">
                  <c:v>0.38954908025394758</c:v>
                </c:pt>
                <c:pt idx="68">
                  <c:v>0.45428571428571429</c:v>
                </c:pt>
                <c:pt idx="69">
                  <c:v>0.29012345679012347</c:v>
                </c:pt>
                <c:pt idx="70">
                  <c:v>0.42691029900332228</c:v>
                </c:pt>
                <c:pt idx="71">
                  <c:v>0.43381535038932145</c:v>
                </c:pt>
                <c:pt idx="72">
                  <c:v>0.46637265711135611</c:v>
                </c:pt>
                <c:pt idx="73">
                  <c:v>0.4745649263721553</c:v>
                </c:pt>
                <c:pt idx="74">
                  <c:v>0.46801346801346799</c:v>
                </c:pt>
                <c:pt idx="75">
                  <c:v>0.42499999999999999</c:v>
                </c:pt>
                <c:pt idx="76">
                  <c:v>3.7242912729294052E-2</c:v>
                </c:pt>
                <c:pt idx="77">
                  <c:v>0.48888888888888887</c:v>
                </c:pt>
                <c:pt idx="78">
                  <c:v>0.45929968167348795</c:v>
                </c:pt>
                <c:pt idx="79">
                  <c:v>0.49010416666666667</c:v>
                </c:pt>
                <c:pt idx="80">
                  <c:v>0.36244541484716158</c:v>
                </c:pt>
                <c:pt idx="81">
                  <c:v>1.9423190111830489E-2</c:v>
                </c:pt>
                <c:pt idx="82">
                  <c:v>0.48995363214837712</c:v>
                </c:pt>
                <c:pt idx="83">
                  <c:v>0.48985507246376814</c:v>
                </c:pt>
                <c:pt idx="84">
                  <c:v>0.13713949381989404</c:v>
                </c:pt>
                <c:pt idx="85">
                  <c:v>0.48975791433891991</c:v>
                </c:pt>
                <c:pt idx="86">
                  <c:v>0.11222222222222222</c:v>
                </c:pt>
                <c:pt idx="87">
                  <c:v>0.48990683229813664</c:v>
                </c:pt>
                <c:pt idx="88">
                  <c:v>0.13596233078281342</c:v>
                </c:pt>
                <c:pt idx="89">
                  <c:v>0.42727272727272725</c:v>
                </c:pt>
                <c:pt idx="90">
                  <c:v>0.5</c:v>
                </c:pt>
                <c:pt idx="91">
                  <c:v>0.48</c:v>
                </c:pt>
                <c:pt idx="92">
                  <c:v>0.47499999999999998</c:v>
                </c:pt>
                <c:pt idx="93">
                  <c:v>0.47086521483225424</c:v>
                </c:pt>
                <c:pt idx="94">
                  <c:v>0.5</c:v>
                </c:pt>
                <c:pt idx="95">
                  <c:v>8.0722891566265054E-2</c:v>
                </c:pt>
                <c:pt idx="96">
                  <c:v>2.4683122081387593E-2</c:v>
                </c:pt>
                <c:pt idx="97">
                  <c:v>0.48971193415637859</c:v>
                </c:pt>
                <c:pt idx="98">
                  <c:v>4.1362530413625302E-2</c:v>
                </c:pt>
                <c:pt idx="99">
                  <c:v>0.48979591836734693</c:v>
                </c:pt>
                <c:pt idx="100">
                  <c:v>0.42369263607257202</c:v>
                </c:pt>
                <c:pt idx="101">
                  <c:v>0.20662598081952921</c:v>
                </c:pt>
                <c:pt idx="102">
                  <c:v>0.41322314049586778</c:v>
                </c:pt>
                <c:pt idx="103">
                  <c:v>1.2638230647709321E-2</c:v>
                </c:pt>
                <c:pt idx="104">
                  <c:v>0.23846153846153847</c:v>
                </c:pt>
                <c:pt idx="105">
                  <c:v>0.3379389752446747</c:v>
                </c:pt>
                <c:pt idx="106">
                  <c:v>0.34254143646408841</c:v>
                </c:pt>
                <c:pt idx="107">
                  <c:v>2.4131842260153032E-2</c:v>
                </c:pt>
                <c:pt idx="108">
                  <c:v>1.7231795441912175E-2</c:v>
                </c:pt>
                <c:pt idx="109">
                  <c:v>0.64014466546112114</c:v>
                </c:pt>
                <c:pt idx="110">
                  <c:v>0.5</c:v>
                </c:pt>
                <c:pt idx="111">
                  <c:v>0.47187499999999999</c:v>
                </c:pt>
              </c:numCache>
            </c:numRef>
          </c:xVal>
          <c:yVal>
            <c:numRef>
              <c:f>'2a&amp;c. Disc&amp;rev'!$B$2:$B$113</c:f>
              <c:numCache>
                <c:formatCode>General</c:formatCode>
                <c:ptCount val="112"/>
                <c:pt idx="0">
                  <c:v>2</c:v>
                </c:pt>
                <c:pt idx="1">
                  <c:v>14</c:v>
                </c:pt>
                <c:pt idx="2">
                  <c:v>24</c:v>
                </c:pt>
                <c:pt idx="3">
                  <c:v>7</c:v>
                </c:pt>
                <c:pt idx="4">
                  <c:v>5</c:v>
                </c:pt>
                <c:pt idx="5">
                  <c:v>15</c:v>
                </c:pt>
                <c:pt idx="6">
                  <c:v>55</c:v>
                </c:pt>
                <c:pt idx="7">
                  <c:v>2</c:v>
                </c:pt>
                <c:pt idx="8">
                  <c:v>5</c:v>
                </c:pt>
                <c:pt idx="9">
                  <c:v>5</c:v>
                </c:pt>
                <c:pt idx="10">
                  <c:v>12</c:v>
                </c:pt>
                <c:pt idx="11">
                  <c:v>39</c:v>
                </c:pt>
                <c:pt idx="12">
                  <c:v>12</c:v>
                </c:pt>
                <c:pt idx="13">
                  <c:v>6</c:v>
                </c:pt>
                <c:pt idx="14">
                  <c:v>9</c:v>
                </c:pt>
                <c:pt idx="15">
                  <c:v>2</c:v>
                </c:pt>
                <c:pt idx="16">
                  <c:v>2</c:v>
                </c:pt>
                <c:pt idx="17">
                  <c:v>3</c:v>
                </c:pt>
                <c:pt idx="18">
                  <c:v>5</c:v>
                </c:pt>
                <c:pt idx="19">
                  <c:v>44</c:v>
                </c:pt>
                <c:pt idx="20">
                  <c:v>13</c:v>
                </c:pt>
                <c:pt idx="21">
                  <c:v>0</c:v>
                </c:pt>
                <c:pt idx="22">
                  <c:v>6</c:v>
                </c:pt>
                <c:pt idx="23">
                  <c:v>14</c:v>
                </c:pt>
                <c:pt idx="24">
                  <c:v>7</c:v>
                </c:pt>
                <c:pt idx="25">
                  <c:v>49</c:v>
                </c:pt>
                <c:pt idx="26">
                  <c:v>12</c:v>
                </c:pt>
                <c:pt idx="27">
                  <c:v>13</c:v>
                </c:pt>
                <c:pt idx="28">
                  <c:v>20</c:v>
                </c:pt>
                <c:pt idx="29">
                  <c:v>0</c:v>
                </c:pt>
                <c:pt idx="30">
                  <c:v>9</c:v>
                </c:pt>
                <c:pt idx="31">
                  <c:v>12</c:v>
                </c:pt>
                <c:pt idx="32">
                  <c:v>9</c:v>
                </c:pt>
                <c:pt idx="33">
                  <c:v>20</c:v>
                </c:pt>
                <c:pt idx="34">
                  <c:v>32</c:v>
                </c:pt>
                <c:pt idx="35">
                  <c:v>1</c:v>
                </c:pt>
                <c:pt idx="36">
                  <c:v>2</c:v>
                </c:pt>
                <c:pt idx="37">
                  <c:v>36</c:v>
                </c:pt>
                <c:pt idx="38">
                  <c:v>2</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6</c:v>
                </c:pt>
                <c:pt idx="60">
                  <c:v>10</c:v>
                </c:pt>
                <c:pt idx="61">
                  <c:v>13</c:v>
                </c:pt>
                <c:pt idx="62">
                  <c:v>69</c:v>
                </c:pt>
                <c:pt idx="63">
                  <c:v>15</c:v>
                </c:pt>
                <c:pt idx="64">
                  <c:v>16</c:v>
                </c:pt>
                <c:pt idx="65">
                  <c:v>6</c:v>
                </c:pt>
                <c:pt idx="66">
                  <c:v>7</c:v>
                </c:pt>
                <c:pt idx="67">
                  <c:v>5</c:v>
                </c:pt>
                <c:pt idx="68">
                  <c:v>17</c:v>
                </c:pt>
                <c:pt idx="69">
                  <c:v>5</c:v>
                </c:pt>
                <c:pt idx="70">
                  <c:v>6</c:v>
                </c:pt>
                <c:pt idx="71">
                  <c:v>5</c:v>
                </c:pt>
                <c:pt idx="72">
                  <c:v>6</c:v>
                </c:pt>
                <c:pt idx="73">
                  <c:v>7</c:v>
                </c:pt>
                <c:pt idx="74">
                  <c:v>0</c:v>
                </c:pt>
                <c:pt idx="75">
                  <c:v>0</c:v>
                </c:pt>
                <c:pt idx="76">
                  <c:v>0</c:v>
                </c:pt>
                <c:pt idx="77">
                  <c:v>0</c:v>
                </c:pt>
                <c:pt idx="78">
                  <c:v>1</c:v>
                </c:pt>
                <c:pt idx="79">
                  <c:v>1</c:v>
                </c:pt>
                <c:pt idx="80">
                  <c:v>0</c:v>
                </c:pt>
                <c:pt idx="81">
                  <c:v>0</c:v>
                </c:pt>
                <c:pt idx="82">
                  <c:v>1</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1</c:v>
                </c:pt>
                <c:pt idx="102">
                  <c:v>0</c:v>
                </c:pt>
                <c:pt idx="103">
                  <c:v>0</c:v>
                </c:pt>
                <c:pt idx="104">
                  <c:v>0</c:v>
                </c:pt>
                <c:pt idx="105">
                  <c:v>0</c:v>
                </c:pt>
                <c:pt idx="106">
                  <c:v>0</c:v>
                </c:pt>
                <c:pt idx="107">
                  <c:v>0</c:v>
                </c:pt>
                <c:pt idx="108">
                  <c:v>0</c:v>
                </c:pt>
                <c:pt idx="109">
                  <c:v>0</c:v>
                </c:pt>
                <c:pt idx="110">
                  <c:v>1</c:v>
                </c:pt>
                <c:pt idx="111">
                  <c:v>0</c:v>
                </c:pt>
              </c:numCache>
            </c:numRef>
          </c:yVal>
          <c:smooth val="0"/>
          <c:extLst>
            <c:ext xmlns:c16="http://schemas.microsoft.com/office/drawing/2014/chart" uri="{C3380CC4-5D6E-409C-BE32-E72D297353CC}">
              <c16:uniqueId val="{00000000-1E86-4139-B6CD-EC04EB6DDC40}"/>
            </c:ext>
          </c:extLst>
        </c:ser>
        <c:dLbls>
          <c:showLegendKey val="0"/>
          <c:showVal val="0"/>
          <c:showCatName val="0"/>
          <c:showSerName val="0"/>
          <c:showPercent val="0"/>
          <c:showBubbleSize val="0"/>
        </c:dLbls>
        <c:axId val="314400080"/>
        <c:axId val="314400560"/>
      </c:scatterChart>
      <c:valAx>
        <c:axId val="31440008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Discount</a:t>
                </a:r>
                <a:r>
                  <a:rPr lang="en-US" baseline="0"/>
                  <a:t> Percentage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4400560"/>
        <c:crosses val="autoZero"/>
        <c:crossBetween val="midCat"/>
      </c:valAx>
      <c:valAx>
        <c:axId val="3144005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a:t>
                </a:r>
                <a:r>
                  <a:rPr lang="en-US" baseline="0"/>
                  <a:t> of Reviews</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4400080"/>
        <c:crosses val="autoZero"/>
        <c:crossBetween val="midCat"/>
      </c:valAx>
      <c:spPr>
        <a:noFill/>
        <a:ln>
          <a:solidFill>
            <a:schemeClr val="accent2">
              <a:lumMod val="75000"/>
            </a:schemeClr>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5">
  <a:schemeClr val="accent2"/>
</cs:colorStyle>
</file>

<file path=xl/charts/colors8.xml><?xml version="1.0" encoding="utf-8"?>
<cs:colorStyle xmlns:cs="http://schemas.microsoft.com/office/drawing/2012/chartStyle" xmlns:a="http://schemas.openxmlformats.org/drawingml/2006/main" meth="withinLinear" id="15">
  <a:schemeClr val="accent2"/>
</cs:colorStyle>
</file>

<file path=xl/charts/colors9.xml><?xml version="1.0" encoding="utf-8"?>
<cs:colorStyle xmlns:cs="http://schemas.microsoft.com/office/drawing/2012/chartStyle" xmlns:a="http://schemas.openxmlformats.org/drawingml/2006/main" meth="withinLinear" id="15">
  <a:schemeClr val="accent2"/>
</cs:colorStyle>
</file>

<file path=xl/charts/colors10.xml><?xml version="1.0" encoding="utf-8"?>
<cs:colorStyle xmlns:cs="http://schemas.microsoft.com/office/drawing/2012/chartStyle" xmlns:a="http://schemas.openxmlformats.org/drawingml/2006/main" meth="withinLinear" id="15">
  <a:schemeClr val="accent2"/>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6.xml"/><Relationship Id="rId7" Type="http://schemas.openxmlformats.org/officeDocument/2006/relationships/chart" Target="../charts/chart10.xml"/><Relationship Id="rId2" Type="http://schemas.openxmlformats.org/officeDocument/2006/relationships/chart" Target="../charts/chart5.xml"/><Relationship Id="rId1" Type="http://schemas.openxmlformats.org/officeDocument/2006/relationships/chart" Target="../charts/chart4.xml"/><Relationship Id="rId6" Type="http://schemas.openxmlformats.org/officeDocument/2006/relationships/chart" Target="../charts/chart9.xml"/><Relationship Id="rId5" Type="http://schemas.openxmlformats.org/officeDocument/2006/relationships/chart" Target="../charts/chart8.xml"/><Relationship Id="rId4"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7</xdr:col>
      <xdr:colOff>38100</xdr:colOff>
      <xdr:row>3</xdr:row>
      <xdr:rowOff>42862</xdr:rowOff>
    </xdr:from>
    <xdr:to>
      <xdr:col>14</xdr:col>
      <xdr:colOff>342900</xdr:colOff>
      <xdr:row>17</xdr:row>
      <xdr:rowOff>119062</xdr:rowOff>
    </xdr:to>
    <xdr:graphicFrame macro="">
      <xdr:nvGraphicFramePr>
        <xdr:cNvPr id="2" name="Chart 1">
          <a:extLst>
            <a:ext uri="{FF2B5EF4-FFF2-40B4-BE49-F238E27FC236}">
              <a16:creationId xmlns:a16="http://schemas.microsoft.com/office/drawing/2014/main" id="{7C39EEA3-7246-F2E2-7BE9-A79BA35A67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13</xdr:row>
      <xdr:rowOff>33337</xdr:rowOff>
    </xdr:from>
    <xdr:to>
      <xdr:col>4</xdr:col>
      <xdr:colOff>342900</xdr:colOff>
      <xdr:row>27</xdr:row>
      <xdr:rowOff>109537</xdr:rowOff>
    </xdr:to>
    <xdr:graphicFrame macro="">
      <xdr:nvGraphicFramePr>
        <xdr:cNvPr id="2" name="Chart 1">
          <a:extLst>
            <a:ext uri="{FF2B5EF4-FFF2-40B4-BE49-F238E27FC236}">
              <a16:creationId xmlns:a16="http://schemas.microsoft.com/office/drawing/2014/main" id="{AF585182-2BA1-C350-57A8-DBCBE63115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495300</xdr:colOff>
      <xdr:row>9</xdr:row>
      <xdr:rowOff>185737</xdr:rowOff>
    </xdr:from>
    <xdr:to>
      <xdr:col>11</xdr:col>
      <xdr:colOff>428625</xdr:colOff>
      <xdr:row>24</xdr:row>
      <xdr:rowOff>71437</xdr:rowOff>
    </xdr:to>
    <xdr:graphicFrame macro="">
      <xdr:nvGraphicFramePr>
        <xdr:cNvPr id="3" name="Chart 2">
          <a:extLst>
            <a:ext uri="{FF2B5EF4-FFF2-40B4-BE49-F238E27FC236}">
              <a16:creationId xmlns:a16="http://schemas.microsoft.com/office/drawing/2014/main" id="{B0B9A611-7457-AE83-016A-AAA81512BD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266700</xdr:colOff>
      <xdr:row>8</xdr:row>
      <xdr:rowOff>47625</xdr:rowOff>
    </xdr:from>
    <xdr:to>
      <xdr:col>2</xdr:col>
      <xdr:colOff>1000125</xdr:colOff>
      <xdr:row>22</xdr:row>
      <xdr:rowOff>47625</xdr:rowOff>
    </xdr:to>
    <mc:AlternateContent xmlns:mc="http://schemas.openxmlformats.org/markup-compatibility/2006" xmlns:a14="http://schemas.microsoft.com/office/drawing/2010/main">
      <mc:Choice Requires="a14">
        <xdr:graphicFrame macro="">
          <xdr:nvGraphicFramePr>
            <xdr:cNvPr id="4" name="Current Price 1">
              <a:extLst>
                <a:ext uri="{FF2B5EF4-FFF2-40B4-BE49-F238E27FC236}">
                  <a16:creationId xmlns:a16="http://schemas.microsoft.com/office/drawing/2014/main" id="{41FC68DB-D60A-56AB-7873-CFB07C05C3B8}"/>
                </a:ext>
              </a:extLst>
            </xdr:cNvPr>
            <xdr:cNvGraphicFramePr/>
          </xdr:nvGraphicFramePr>
          <xdr:xfrm>
            <a:off x="0" y="0"/>
            <a:ext cx="0" cy="0"/>
          </xdr:xfrm>
          <a:graphic>
            <a:graphicData uri="http://schemas.microsoft.com/office/drawing/2010/slicer">
              <sle:slicer xmlns:sle="http://schemas.microsoft.com/office/drawing/2010/slicer" name="Current Price 1"/>
            </a:graphicData>
          </a:graphic>
        </xdr:graphicFrame>
      </mc:Choice>
      <mc:Fallback xmlns="">
        <xdr:sp macro="" textlink="">
          <xdr:nvSpPr>
            <xdr:cNvPr id="0" name=""/>
            <xdr:cNvSpPr>
              <a:spLocks noTextEdit="1"/>
            </xdr:cNvSpPr>
          </xdr:nvSpPr>
          <xdr:spPr>
            <a:xfrm>
              <a:off x="1162050" y="1571625"/>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742950</xdr:colOff>
      <xdr:row>10</xdr:row>
      <xdr:rowOff>142875</xdr:rowOff>
    </xdr:from>
    <xdr:to>
      <xdr:col>3</xdr:col>
      <xdr:colOff>142875</xdr:colOff>
      <xdr:row>24</xdr:row>
      <xdr:rowOff>142875</xdr:rowOff>
    </xdr:to>
    <mc:AlternateContent xmlns:mc="http://schemas.openxmlformats.org/markup-compatibility/2006" xmlns:a14="http://schemas.microsoft.com/office/drawing/2010/main">
      <mc:Choice Requires="a14">
        <xdr:graphicFrame macro="">
          <xdr:nvGraphicFramePr>
            <xdr:cNvPr id="5" name="Discount(%)">
              <a:extLst>
                <a:ext uri="{FF2B5EF4-FFF2-40B4-BE49-F238E27FC236}">
                  <a16:creationId xmlns:a16="http://schemas.microsoft.com/office/drawing/2014/main" id="{C31BA0CB-14FF-4020-0500-E8EA56D38107}"/>
                </a:ext>
              </a:extLst>
            </xdr:cNvPr>
            <xdr:cNvGraphicFramePr/>
          </xdr:nvGraphicFramePr>
          <xdr:xfrm>
            <a:off x="0" y="0"/>
            <a:ext cx="0" cy="0"/>
          </xdr:xfrm>
          <a:graphic>
            <a:graphicData uri="http://schemas.microsoft.com/office/drawing/2010/slicer">
              <sle:slicer xmlns:sle="http://schemas.microsoft.com/office/drawing/2010/slicer" name="Discount(%)"/>
            </a:graphicData>
          </a:graphic>
        </xdr:graphicFrame>
      </mc:Choice>
      <mc:Fallback xmlns="">
        <xdr:sp macro="" textlink="">
          <xdr:nvSpPr>
            <xdr:cNvPr id="0" name=""/>
            <xdr:cNvSpPr>
              <a:spLocks noTextEdit="1"/>
            </xdr:cNvSpPr>
          </xdr:nvSpPr>
          <xdr:spPr>
            <a:xfrm>
              <a:off x="1638300" y="2047875"/>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123825</xdr:colOff>
      <xdr:row>13</xdr:row>
      <xdr:rowOff>47625</xdr:rowOff>
    </xdr:from>
    <xdr:to>
      <xdr:col>3</xdr:col>
      <xdr:colOff>619125</xdr:colOff>
      <xdr:row>27</xdr:row>
      <xdr:rowOff>47625</xdr:rowOff>
    </xdr:to>
    <mc:AlternateContent xmlns:mc="http://schemas.openxmlformats.org/markup-compatibility/2006" xmlns:a14="http://schemas.microsoft.com/office/drawing/2010/main">
      <mc:Choice Requires="a14">
        <xdr:graphicFrame macro="">
          <xdr:nvGraphicFramePr>
            <xdr:cNvPr id="6" name="Discount Category">
              <a:extLst>
                <a:ext uri="{FF2B5EF4-FFF2-40B4-BE49-F238E27FC236}">
                  <a16:creationId xmlns:a16="http://schemas.microsoft.com/office/drawing/2014/main" id="{98FE400B-940E-427F-6629-B6D9084E8111}"/>
                </a:ext>
              </a:extLst>
            </xdr:cNvPr>
            <xdr:cNvGraphicFramePr/>
          </xdr:nvGraphicFramePr>
          <xdr:xfrm>
            <a:off x="0" y="0"/>
            <a:ext cx="0" cy="0"/>
          </xdr:xfrm>
          <a:graphic>
            <a:graphicData uri="http://schemas.microsoft.com/office/drawing/2010/slicer">
              <sle:slicer xmlns:sle="http://schemas.microsoft.com/office/drawing/2010/slicer" name="Discount Category"/>
            </a:graphicData>
          </a:graphic>
        </xdr:graphicFrame>
      </mc:Choice>
      <mc:Fallback xmlns="">
        <xdr:sp macro="" textlink="">
          <xdr:nvSpPr>
            <xdr:cNvPr id="0" name=""/>
            <xdr:cNvSpPr>
              <a:spLocks noTextEdit="1"/>
            </xdr:cNvSpPr>
          </xdr:nvSpPr>
          <xdr:spPr>
            <a:xfrm>
              <a:off x="2114550" y="2524125"/>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542925</xdr:colOff>
      <xdr:row>8</xdr:row>
      <xdr:rowOff>57150</xdr:rowOff>
    </xdr:from>
    <xdr:to>
      <xdr:col>6</xdr:col>
      <xdr:colOff>657225</xdr:colOff>
      <xdr:row>22</xdr:row>
      <xdr:rowOff>57150</xdr:rowOff>
    </xdr:to>
    <mc:AlternateContent xmlns:mc="http://schemas.openxmlformats.org/markup-compatibility/2006" xmlns:a14="http://schemas.microsoft.com/office/drawing/2010/main">
      <mc:Choice Requires="a14">
        <xdr:graphicFrame macro="">
          <xdr:nvGraphicFramePr>
            <xdr:cNvPr id="7" name="Rating Category">
              <a:extLst>
                <a:ext uri="{FF2B5EF4-FFF2-40B4-BE49-F238E27FC236}">
                  <a16:creationId xmlns:a16="http://schemas.microsoft.com/office/drawing/2014/main" id="{7CB96F1E-A0D6-53D1-9D68-EABC11A8D6C5}"/>
                </a:ext>
              </a:extLst>
            </xdr:cNvPr>
            <xdr:cNvGraphicFramePr/>
          </xdr:nvGraphicFramePr>
          <xdr:xfrm>
            <a:off x="0" y="0"/>
            <a:ext cx="0" cy="0"/>
          </xdr:xfrm>
          <a:graphic>
            <a:graphicData uri="http://schemas.microsoft.com/office/drawing/2010/slicer">
              <sle:slicer xmlns:sle="http://schemas.microsoft.com/office/drawing/2010/slicer" name="Rating Category"/>
            </a:graphicData>
          </a:graphic>
        </xdr:graphicFrame>
      </mc:Choice>
      <mc:Fallback xmlns="">
        <xdr:sp macro="" textlink="">
          <xdr:nvSpPr>
            <xdr:cNvPr id="0" name=""/>
            <xdr:cNvSpPr>
              <a:spLocks noTextEdit="1"/>
            </xdr:cNvSpPr>
          </xdr:nvSpPr>
          <xdr:spPr>
            <a:xfrm>
              <a:off x="4772025" y="158115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4</xdr:col>
      <xdr:colOff>581025</xdr:colOff>
      <xdr:row>0</xdr:row>
      <xdr:rowOff>85725</xdr:rowOff>
    </xdr:from>
    <xdr:to>
      <xdr:col>24</xdr:col>
      <xdr:colOff>485775</xdr:colOff>
      <xdr:row>5</xdr:row>
      <xdr:rowOff>19050</xdr:rowOff>
    </xdr:to>
    <xdr:sp macro="" textlink="">
      <xdr:nvSpPr>
        <xdr:cNvPr id="2" name="Rectangle: Rounded Corners 1">
          <a:extLst>
            <a:ext uri="{FF2B5EF4-FFF2-40B4-BE49-F238E27FC236}">
              <a16:creationId xmlns:a16="http://schemas.microsoft.com/office/drawing/2014/main" id="{658F2977-C1AD-F3B1-2D0F-147FC0276F4D}"/>
            </a:ext>
          </a:extLst>
        </xdr:cNvPr>
        <xdr:cNvSpPr/>
      </xdr:nvSpPr>
      <xdr:spPr>
        <a:xfrm>
          <a:off x="3019425" y="85725"/>
          <a:ext cx="12096750" cy="885825"/>
        </a:xfrm>
        <a:prstGeom prst="roundRect">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ctr"/>
          <a:r>
            <a:rPr lang="en-US" sz="4400" b="1">
              <a:solidFill>
                <a:schemeClr val="tx1"/>
              </a:solidFill>
              <a:latin typeface="Arial Rounded MT Bold" panose="020F0704030504030204" pitchFamily="34" charset="0"/>
            </a:rPr>
            <a:t>Jumia Product Performance Dashboard</a:t>
          </a:r>
        </a:p>
      </xdr:txBody>
    </xdr:sp>
    <xdr:clientData/>
  </xdr:twoCellAnchor>
  <xdr:twoCellAnchor>
    <xdr:from>
      <xdr:col>9</xdr:col>
      <xdr:colOff>238125</xdr:colOff>
      <xdr:row>5</xdr:row>
      <xdr:rowOff>161925</xdr:rowOff>
    </xdr:from>
    <xdr:to>
      <xdr:col>13</xdr:col>
      <xdr:colOff>371475</xdr:colOff>
      <xdr:row>10</xdr:row>
      <xdr:rowOff>171450</xdr:rowOff>
    </xdr:to>
    <xdr:sp macro="" textlink="">
      <xdr:nvSpPr>
        <xdr:cNvPr id="4" name="Rectangle: Rounded Corners 3">
          <a:extLst>
            <a:ext uri="{FF2B5EF4-FFF2-40B4-BE49-F238E27FC236}">
              <a16:creationId xmlns:a16="http://schemas.microsoft.com/office/drawing/2014/main" id="{2E284597-877D-0DBC-8C10-5D51D7CF7508}"/>
            </a:ext>
          </a:extLst>
        </xdr:cNvPr>
        <xdr:cNvSpPr/>
      </xdr:nvSpPr>
      <xdr:spPr>
        <a:xfrm>
          <a:off x="5724525" y="1114425"/>
          <a:ext cx="2571750" cy="962025"/>
        </a:xfrm>
        <a:prstGeom prst="roundRect">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r>
            <a:rPr lang="en-US" sz="2400" b="1">
              <a:solidFill>
                <a:sysClr val="windowText" lastClr="000000"/>
              </a:solidFill>
            </a:rPr>
            <a:t>Average Rating: </a:t>
          </a:r>
          <a:r>
            <a:rPr lang="en-US" sz="2400" b="1" i="0" u="none" strike="noStrike">
              <a:solidFill>
                <a:sysClr val="windowText" lastClr="000000"/>
              </a:solidFill>
              <a:effectLst/>
              <a:latin typeface="+mn-lt"/>
              <a:ea typeface="+mn-ea"/>
              <a:cs typeface="+mn-cs"/>
            </a:rPr>
            <a:t>3.89</a:t>
          </a:r>
          <a:r>
            <a:rPr lang="en-US" sz="2400" b="1">
              <a:solidFill>
                <a:sysClr val="windowText" lastClr="000000"/>
              </a:solidFill>
              <a:effectLst/>
            </a:rPr>
            <a:t> </a:t>
          </a:r>
          <a:endParaRPr lang="en-US" sz="2400" b="1">
            <a:solidFill>
              <a:sysClr val="windowText" lastClr="000000"/>
            </a:solidFill>
          </a:endParaRPr>
        </a:p>
      </xdr:txBody>
    </xdr:sp>
    <xdr:clientData/>
  </xdr:twoCellAnchor>
  <xdr:twoCellAnchor>
    <xdr:from>
      <xdr:col>4</xdr:col>
      <xdr:colOff>590551</xdr:colOff>
      <xdr:row>5</xdr:row>
      <xdr:rowOff>152399</xdr:rowOff>
    </xdr:from>
    <xdr:to>
      <xdr:col>8</xdr:col>
      <xdr:colOff>552451</xdr:colOff>
      <xdr:row>10</xdr:row>
      <xdr:rowOff>161925</xdr:rowOff>
    </xdr:to>
    <xdr:sp macro="" textlink="">
      <xdr:nvSpPr>
        <xdr:cNvPr id="5" name="Rectangle: Rounded Corners 4">
          <a:extLst>
            <a:ext uri="{FF2B5EF4-FFF2-40B4-BE49-F238E27FC236}">
              <a16:creationId xmlns:a16="http://schemas.microsoft.com/office/drawing/2014/main" id="{C86DFC67-5AE4-4767-B03D-1A1768BDACB9}"/>
            </a:ext>
          </a:extLst>
        </xdr:cNvPr>
        <xdr:cNvSpPr/>
      </xdr:nvSpPr>
      <xdr:spPr>
        <a:xfrm>
          <a:off x="3028951" y="1104899"/>
          <a:ext cx="2400300" cy="962026"/>
        </a:xfrm>
        <a:prstGeom prst="roundRect">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r>
            <a:rPr lang="en-US" sz="2400" b="1">
              <a:solidFill>
                <a:sysClr val="windowText" lastClr="000000"/>
              </a:solidFill>
            </a:rPr>
            <a:t>Total</a:t>
          </a:r>
          <a:r>
            <a:rPr lang="en-US" sz="2400" b="1" baseline="0">
              <a:solidFill>
                <a:sysClr val="windowText" lastClr="000000"/>
              </a:solidFill>
            </a:rPr>
            <a:t> Products: </a:t>
          </a:r>
          <a:r>
            <a:rPr lang="en-US" sz="2400" b="1" i="0" u="none" strike="noStrike">
              <a:solidFill>
                <a:sysClr val="windowText" lastClr="000000"/>
              </a:solidFill>
              <a:effectLst/>
              <a:latin typeface="+mn-lt"/>
              <a:ea typeface="+mn-ea"/>
              <a:cs typeface="+mn-cs"/>
            </a:rPr>
            <a:t>112</a:t>
          </a:r>
          <a:r>
            <a:rPr lang="en-US" sz="2400" b="1">
              <a:solidFill>
                <a:sysClr val="windowText" lastClr="000000"/>
              </a:solidFill>
              <a:effectLst/>
            </a:rPr>
            <a:t> </a:t>
          </a:r>
          <a:endParaRPr lang="en-US" sz="2400" b="1">
            <a:solidFill>
              <a:sysClr val="windowText" lastClr="000000"/>
            </a:solidFill>
          </a:endParaRPr>
        </a:p>
      </xdr:txBody>
    </xdr:sp>
    <xdr:clientData/>
  </xdr:twoCellAnchor>
  <xdr:twoCellAnchor>
    <xdr:from>
      <xdr:col>14</xdr:col>
      <xdr:colOff>76201</xdr:colOff>
      <xdr:row>5</xdr:row>
      <xdr:rowOff>142874</xdr:rowOff>
    </xdr:from>
    <xdr:to>
      <xdr:col>19</xdr:col>
      <xdr:colOff>304801</xdr:colOff>
      <xdr:row>10</xdr:row>
      <xdr:rowOff>180975</xdr:rowOff>
    </xdr:to>
    <xdr:sp macro="" textlink="">
      <xdr:nvSpPr>
        <xdr:cNvPr id="6" name="Rectangle: Rounded Corners 5">
          <a:extLst>
            <a:ext uri="{FF2B5EF4-FFF2-40B4-BE49-F238E27FC236}">
              <a16:creationId xmlns:a16="http://schemas.microsoft.com/office/drawing/2014/main" id="{092EA778-4BF2-4E32-9B0C-B1956843C117}"/>
            </a:ext>
          </a:extLst>
        </xdr:cNvPr>
        <xdr:cNvSpPr/>
      </xdr:nvSpPr>
      <xdr:spPr>
        <a:xfrm>
          <a:off x="8610601" y="1095374"/>
          <a:ext cx="3276600" cy="990601"/>
        </a:xfrm>
        <a:prstGeom prst="roundRect">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r>
            <a:rPr lang="en-US" sz="2400" b="1">
              <a:solidFill>
                <a:sysClr val="windowText" lastClr="000000"/>
              </a:solidFill>
            </a:rPr>
            <a:t>Average Discount(%):</a:t>
          </a:r>
          <a:r>
            <a:rPr lang="en-US" sz="2400" b="1" baseline="0">
              <a:solidFill>
                <a:sysClr val="windowText" lastClr="000000"/>
              </a:solidFill>
            </a:rPr>
            <a:t> </a:t>
          </a:r>
          <a:r>
            <a:rPr lang="en-US" sz="2400" b="1" i="0" u="none" strike="noStrike">
              <a:solidFill>
                <a:sysClr val="windowText" lastClr="000000"/>
              </a:solidFill>
              <a:effectLst/>
              <a:latin typeface="+mn-lt"/>
              <a:ea typeface="+mn-ea"/>
              <a:cs typeface="+mn-cs"/>
            </a:rPr>
            <a:t>36.71%</a:t>
          </a:r>
          <a:r>
            <a:rPr lang="en-US" sz="2400" b="1">
              <a:solidFill>
                <a:sysClr val="windowText" lastClr="000000"/>
              </a:solidFill>
              <a:effectLst/>
            </a:rPr>
            <a:t> </a:t>
          </a:r>
          <a:endParaRPr lang="en-US" sz="2400" b="1">
            <a:solidFill>
              <a:sysClr val="windowText" lastClr="000000"/>
            </a:solidFill>
          </a:endParaRPr>
        </a:p>
      </xdr:txBody>
    </xdr:sp>
    <xdr:clientData/>
  </xdr:twoCellAnchor>
  <xdr:twoCellAnchor>
    <xdr:from>
      <xdr:col>20</xdr:col>
      <xdr:colOff>85725</xdr:colOff>
      <xdr:row>5</xdr:row>
      <xdr:rowOff>142875</xdr:rowOff>
    </xdr:from>
    <xdr:to>
      <xdr:col>24</xdr:col>
      <xdr:colOff>161925</xdr:colOff>
      <xdr:row>10</xdr:row>
      <xdr:rowOff>180974</xdr:rowOff>
    </xdr:to>
    <xdr:sp macro="" textlink="">
      <xdr:nvSpPr>
        <xdr:cNvPr id="7" name="Rectangle: Rounded Corners 6">
          <a:extLst>
            <a:ext uri="{FF2B5EF4-FFF2-40B4-BE49-F238E27FC236}">
              <a16:creationId xmlns:a16="http://schemas.microsoft.com/office/drawing/2014/main" id="{B9794020-55B3-46D6-B19C-975D70724BEA}"/>
            </a:ext>
          </a:extLst>
        </xdr:cNvPr>
        <xdr:cNvSpPr/>
      </xdr:nvSpPr>
      <xdr:spPr>
        <a:xfrm>
          <a:off x="12277725" y="1095375"/>
          <a:ext cx="2514600" cy="990599"/>
        </a:xfrm>
        <a:prstGeom prst="roundRect">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r>
            <a:rPr lang="en-US" sz="2400" b="1">
              <a:solidFill>
                <a:sysClr val="windowText" lastClr="000000"/>
              </a:solidFill>
            </a:rPr>
            <a:t>Total Reviews: </a:t>
          </a:r>
          <a:r>
            <a:rPr lang="en-US" sz="2400" b="1" i="0" u="none" strike="noStrike">
              <a:solidFill>
                <a:sysClr val="windowText" lastClr="000000"/>
              </a:solidFill>
              <a:effectLst/>
              <a:latin typeface="+mn-lt"/>
              <a:ea typeface="+mn-ea"/>
              <a:cs typeface="+mn-cs"/>
            </a:rPr>
            <a:t>723</a:t>
          </a:r>
          <a:r>
            <a:rPr lang="en-US" sz="2400" b="1">
              <a:solidFill>
                <a:sysClr val="windowText" lastClr="000000"/>
              </a:solidFill>
              <a:effectLst/>
            </a:rPr>
            <a:t> </a:t>
          </a:r>
          <a:endParaRPr lang="en-US" sz="2400" b="1">
            <a:solidFill>
              <a:sysClr val="windowText" lastClr="000000"/>
            </a:solidFill>
          </a:endParaRPr>
        </a:p>
      </xdr:txBody>
    </xdr:sp>
    <xdr:clientData/>
  </xdr:twoCellAnchor>
  <xdr:twoCellAnchor>
    <xdr:from>
      <xdr:col>4</xdr:col>
      <xdr:colOff>600075</xdr:colOff>
      <xdr:row>12</xdr:row>
      <xdr:rowOff>114300</xdr:rowOff>
    </xdr:from>
    <xdr:to>
      <xdr:col>13</xdr:col>
      <xdr:colOff>85725</xdr:colOff>
      <xdr:row>27</xdr:row>
      <xdr:rowOff>0</xdr:rowOff>
    </xdr:to>
    <xdr:graphicFrame macro="">
      <xdr:nvGraphicFramePr>
        <xdr:cNvPr id="9" name="Chart 8">
          <a:extLst>
            <a:ext uri="{FF2B5EF4-FFF2-40B4-BE49-F238E27FC236}">
              <a16:creationId xmlns:a16="http://schemas.microsoft.com/office/drawing/2014/main" id="{ECB3BF57-948F-49B6-AE6F-9B6666118A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200026</xdr:colOff>
      <xdr:row>12</xdr:row>
      <xdr:rowOff>85725</xdr:rowOff>
    </xdr:from>
    <xdr:to>
      <xdr:col>25</xdr:col>
      <xdr:colOff>457200</xdr:colOff>
      <xdr:row>26</xdr:row>
      <xdr:rowOff>161925</xdr:rowOff>
    </xdr:to>
    <xdr:graphicFrame macro="">
      <xdr:nvGraphicFramePr>
        <xdr:cNvPr id="10" name="Chart 9">
          <a:extLst>
            <a:ext uri="{FF2B5EF4-FFF2-40B4-BE49-F238E27FC236}">
              <a16:creationId xmlns:a16="http://schemas.microsoft.com/office/drawing/2014/main" id="{183EF633-3265-46F7-92BE-A944877CBA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600075</xdr:colOff>
      <xdr:row>27</xdr:row>
      <xdr:rowOff>66675</xdr:rowOff>
    </xdr:from>
    <xdr:to>
      <xdr:col>12</xdr:col>
      <xdr:colOff>295275</xdr:colOff>
      <xdr:row>47</xdr:row>
      <xdr:rowOff>57150</xdr:rowOff>
    </xdr:to>
    <xdr:graphicFrame macro="">
      <xdr:nvGraphicFramePr>
        <xdr:cNvPr id="11" name="Chart 10">
          <a:extLst>
            <a:ext uri="{FF2B5EF4-FFF2-40B4-BE49-F238E27FC236}">
              <a16:creationId xmlns:a16="http://schemas.microsoft.com/office/drawing/2014/main" id="{36473C28-FE53-4E94-9C15-AA50481EF4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581025</xdr:colOff>
      <xdr:row>47</xdr:row>
      <xdr:rowOff>133350</xdr:rowOff>
    </xdr:from>
    <xdr:to>
      <xdr:col>13</xdr:col>
      <xdr:colOff>247650</xdr:colOff>
      <xdr:row>67</xdr:row>
      <xdr:rowOff>100014</xdr:rowOff>
    </xdr:to>
    <xdr:graphicFrame macro="">
      <xdr:nvGraphicFramePr>
        <xdr:cNvPr id="12" name="Chart 11">
          <a:extLst>
            <a:ext uri="{FF2B5EF4-FFF2-40B4-BE49-F238E27FC236}">
              <a16:creationId xmlns:a16="http://schemas.microsoft.com/office/drawing/2014/main" id="{7C1E6290-5B68-4253-A352-EA18C2C5BB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428626</xdr:colOff>
      <xdr:row>47</xdr:row>
      <xdr:rowOff>104776</xdr:rowOff>
    </xdr:from>
    <xdr:to>
      <xdr:col>21</xdr:col>
      <xdr:colOff>180976</xdr:colOff>
      <xdr:row>67</xdr:row>
      <xdr:rowOff>85725</xdr:rowOff>
    </xdr:to>
    <xdr:graphicFrame macro="">
      <xdr:nvGraphicFramePr>
        <xdr:cNvPr id="13" name="Chart 12">
          <a:extLst>
            <a:ext uri="{FF2B5EF4-FFF2-40B4-BE49-F238E27FC236}">
              <a16:creationId xmlns:a16="http://schemas.microsoft.com/office/drawing/2014/main" id="{64BBBF96-8923-44FA-92A8-0BADAAD534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20</xdr:col>
      <xdr:colOff>180975</xdr:colOff>
      <xdr:row>27</xdr:row>
      <xdr:rowOff>76200</xdr:rowOff>
    </xdr:from>
    <xdr:to>
      <xdr:col>27</xdr:col>
      <xdr:colOff>485775</xdr:colOff>
      <xdr:row>41</xdr:row>
      <xdr:rowOff>152400</xdr:rowOff>
    </xdr:to>
    <xdr:graphicFrame macro="">
      <xdr:nvGraphicFramePr>
        <xdr:cNvPr id="15" name="Chart 14">
          <a:extLst>
            <a:ext uri="{FF2B5EF4-FFF2-40B4-BE49-F238E27FC236}">
              <a16:creationId xmlns:a16="http://schemas.microsoft.com/office/drawing/2014/main" id="{FB139082-FE69-4944-BB51-9322AD5137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381000</xdr:colOff>
      <xdr:row>27</xdr:row>
      <xdr:rowOff>85725</xdr:rowOff>
    </xdr:from>
    <xdr:to>
      <xdr:col>20</xdr:col>
      <xdr:colOff>76200</xdr:colOff>
      <xdr:row>41</xdr:row>
      <xdr:rowOff>161925</xdr:rowOff>
    </xdr:to>
    <xdr:graphicFrame macro="">
      <xdr:nvGraphicFramePr>
        <xdr:cNvPr id="16" name="Chart 15">
          <a:extLst>
            <a:ext uri="{FF2B5EF4-FFF2-40B4-BE49-F238E27FC236}">
              <a16:creationId xmlns:a16="http://schemas.microsoft.com/office/drawing/2014/main" id="{2B2E71BB-F17D-4EEB-9FD9-EAF982DAEA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0</xdr:colOff>
      <xdr:row>7</xdr:row>
      <xdr:rowOff>0</xdr:rowOff>
    </xdr:from>
    <xdr:to>
      <xdr:col>3</xdr:col>
      <xdr:colOff>0</xdr:colOff>
      <xdr:row>15</xdr:row>
      <xdr:rowOff>161925</xdr:rowOff>
    </xdr:to>
    <mc:AlternateContent xmlns:mc="http://schemas.openxmlformats.org/markup-compatibility/2006" xmlns:a14="http://schemas.microsoft.com/office/drawing/2010/main">
      <mc:Choice Requires="a14">
        <xdr:graphicFrame macro="">
          <xdr:nvGraphicFramePr>
            <xdr:cNvPr id="17" name="Rating Category 1">
              <a:extLst>
                <a:ext uri="{FF2B5EF4-FFF2-40B4-BE49-F238E27FC236}">
                  <a16:creationId xmlns:a16="http://schemas.microsoft.com/office/drawing/2014/main" id="{E0031B74-ED8B-4C73-A77A-BD90744DC9ED}"/>
                </a:ext>
              </a:extLst>
            </xdr:cNvPr>
            <xdr:cNvGraphicFramePr/>
          </xdr:nvGraphicFramePr>
          <xdr:xfrm>
            <a:off x="0" y="0"/>
            <a:ext cx="0" cy="0"/>
          </xdr:xfrm>
          <a:graphic>
            <a:graphicData uri="http://schemas.microsoft.com/office/drawing/2010/slicer">
              <sle:slicer xmlns:sle="http://schemas.microsoft.com/office/drawing/2010/slicer" name="Rating Category 1"/>
            </a:graphicData>
          </a:graphic>
        </xdr:graphicFrame>
      </mc:Choice>
      <mc:Fallback xmlns="">
        <xdr:sp macro="" textlink="">
          <xdr:nvSpPr>
            <xdr:cNvPr id="0" name=""/>
            <xdr:cNvSpPr>
              <a:spLocks noTextEdit="1"/>
            </xdr:cNvSpPr>
          </xdr:nvSpPr>
          <xdr:spPr>
            <a:xfrm>
              <a:off x="0" y="1333500"/>
              <a:ext cx="1828800" cy="16859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16</xdr:row>
      <xdr:rowOff>0</xdr:rowOff>
    </xdr:from>
    <xdr:to>
      <xdr:col>3</xdr:col>
      <xdr:colOff>0</xdr:colOff>
      <xdr:row>23</xdr:row>
      <xdr:rowOff>66675</xdr:rowOff>
    </xdr:to>
    <mc:AlternateContent xmlns:mc="http://schemas.openxmlformats.org/markup-compatibility/2006" xmlns:a14="http://schemas.microsoft.com/office/drawing/2010/main">
      <mc:Choice Requires="a14">
        <xdr:graphicFrame macro="">
          <xdr:nvGraphicFramePr>
            <xdr:cNvPr id="18" name="Discount Category 1">
              <a:extLst>
                <a:ext uri="{FF2B5EF4-FFF2-40B4-BE49-F238E27FC236}">
                  <a16:creationId xmlns:a16="http://schemas.microsoft.com/office/drawing/2014/main" id="{0DFBE5A7-8713-4B8A-926A-06508E800B72}"/>
                </a:ext>
              </a:extLst>
            </xdr:cNvPr>
            <xdr:cNvGraphicFramePr/>
          </xdr:nvGraphicFramePr>
          <xdr:xfrm>
            <a:off x="0" y="0"/>
            <a:ext cx="0" cy="0"/>
          </xdr:xfrm>
          <a:graphic>
            <a:graphicData uri="http://schemas.microsoft.com/office/drawing/2010/slicer">
              <sle:slicer xmlns:sle="http://schemas.microsoft.com/office/drawing/2010/slicer" name="Discount Category 1"/>
            </a:graphicData>
          </a:graphic>
        </xdr:graphicFrame>
      </mc:Choice>
      <mc:Fallback xmlns="">
        <xdr:sp macro="" textlink="">
          <xdr:nvSpPr>
            <xdr:cNvPr id="0" name=""/>
            <xdr:cNvSpPr>
              <a:spLocks noTextEdit="1"/>
            </xdr:cNvSpPr>
          </xdr:nvSpPr>
          <xdr:spPr>
            <a:xfrm>
              <a:off x="0" y="3048000"/>
              <a:ext cx="1828800" cy="14001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23</xdr:row>
      <xdr:rowOff>114300</xdr:rowOff>
    </xdr:from>
    <xdr:to>
      <xdr:col>3</xdr:col>
      <xdr:colOff>0</xdr:colOff>
      <xdr:row>35</xdr:row>
      <xdr:rowOff>47625</xdr:rowOff>
    </xdr:to>
    <mc:AlternateContent xmlns:mc="http://schemas.openxmlformats.org/markup-compatibility/2006" xmlns:a14="http://schemas.microsoft.com/office/drawing/2010/main">
      <mc:Choice Requires="a14">
        <xdr:graphicFrame macro="">
          <xdr:nvGraphicFramePr>
            <xdr:cNvPr id="19" name="Discount(%) 1">
              <a:extLst>
                <a:ext uri="{FF2B5EF4-FFF2-40B4-BE49-F238E27FC236}">
                  <a16:creationId xmlns:a16="http://schemas.microsoft.com/office/drawing/2014/main" id="{CD819FEE-89A0-43A4-9449-D88F04FE690C}"/>
                </a:ext>
              </a:extLst>
            </xdr:cNvPr>
            <xdr:cNvGraphicFramePr/>
          </xdr:nvGraphicFramePr>
          <xdr:xfrm>
            <a:off x="0" y="0"/>
            <a:ext cx="0" cy="0"/>
          </xdr:xfrm>
          <a:graphic>
            <a:graphicData uri="http://schemas.microsoft.com/office/drawing/2010/slicer">
              <sle:slicer xmlns:sle="http://schemas.microsoft.com/office/drawing/2010/slicer" name="Discount(%) 1"/>
            </a:graphicData>
          </a:graphic>
        </xdr:graphicFrame>
      </mc:Choice>
      <mc:Fallback xmlns="">
        <xdr:sp macro="" textlink="">
          <xdr:nvSpPr>
            <xdr:cNvPr id="0" name=""/>
            <xdr:cNvSpPr>
              <a:spLocks noTextEdit="1"/>
            </xdr:cNvSpPr>
          </xdr:nvSpPr>
          <xdr:spPr>
            <a:xfrm>
              <a:off x="0" y="4495800"/>
              <a:ext cx="1828800" cy="22193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35</xdr:row>
      <xdr:rowOff>66675</xdr:rowOff>
    </xdr:from>
    <xdr:to>
      <xdr:col>3</xdr:col>
      <xdr:colOff>0</xdr:colOff>
      <xdr:row>48</xdr:row>
      <xdr:rowOff>76200</xdr:rowOff>
    </xdr:to>
    <mc:AlternateContent xmlns:mc="http://schemas.openxmlformats.org/markup-compatibility/2006" xmlns:a14="http://schemas.microsoft.com/office/drawing/2010/main">
      <mc:Choice Requires="a14">
        <xdr:graphicFrame macro="">
          <xdr:nvGraphicFramePr>
            <xdr:cNvPr id="20" name="Current Price 2">
              <a:extLst>
                <a:ext uri="{FF2B5EF4-FFF2-40B4-BE49-F238E27FC236}">
                  <a16:creationId xmlns:a16="http://schemas.microsoft.com/office/drawing/2014/main" id="{589E8A29-728E-4AA1-96F9-9F53BE8977AC}"/>
                </a:ext>
              </a:extLst>
            </xdr:cNvPr>
            <xdr:cNvGraphicFramePr/>
          </xdr:nvGraphicFramePr>
          <xdr:xfrm>
            <a:off x="0" y="0"/>
            <a:ext cx="0" cy="0"/>
          </xdr:xfrm>
          <a:graphic>
            <a:graphicData uri="http://schemas.microsoft.com/office/drawing/2010/slicer">
              <sle:slicer xmlns:sle="http://schemas.microsoft.com/office/drawing/2010/slicer" name="Current Price 2"/>
            </a:graphicData>
          </a:graphic>
        </xdr:graphicFrame>
      </mc:Choice>
      <mc:Fallback xmlns="">
        <xdr:sp macro="" textlink="">
          <xdr:nvSpPr>
            <xdr:cNvPr id="0" name=""/>
            <xdr:cNvSpPr>
              <a:spLocks noTextEdit="1"/>
            </xdr:cNvSpPr>
          </xdr:nvSpPr>
          <xdr:spPr>
            <a:xfrm>
              <a:off x="0" y="6734175"/>
              <a:ext cx="1828800" cy="24860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3</xdr:col>
      <xdr:colOff>533399</xdr:colOff>
      <xdr:row>7</xdr:row>
      <xdr:rowOff>23812</xdr:rowOff>
    </xdr:from>
    <xdr:to>
      <xdr:col>16</xdr:col>
      <xdr:colOff>523874</xdr:colOff>
      <xdr:row>21</xdr:row>
      <xdr:rowOff>100012</xdr:rowOff>
    </xdr:to>
    <xdr:graphicFrame macro="">
      <xdr:nvGraphicFramePr>
        <xdr:cNvPr id="2" name="Chart 1">
          <a:extLst>
            <a:ext uri="{FF2B5EF4-FFF2-40B4-BE49-F238E27FC236}">
              <a16:creationId xmlns:a16="http://schemas.microsoft.com/office/drawing/2014/main" id="{ADCA2625-721B-843C-FCF4-4673B66A93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0</xdr:colOff>
      <xdr:row>3</xdr:row>
      <xdr:rowOff>95250</xdr:rowOff>
    </xdr:from>
    <xdr:to>
      <xdr:col>10</xdr:col>
      <xdr:colOff>304800</xdr:colOff>
      <xdr:row>24</xdr:row>
      <xdr:rowOff>14287</xdr:rowOff>
    </xdr:to>
    <xdr:graphicFrame macro="">
      <xdr:nvGraphicFramePr>
        <xdr:cNvPr id="3" name="Chart 2">
          <a:extLst>
            <a:ext uri="{FF2B5EF4-FFF2-40B4-BE49-F238E27FC236}">
              <a16:creationId xmlns:a16="http://schemas.microsoft.com/office/drawing/2014/main" id="{4C7FE0F2-250E-9C79-4B3A-C04A056DB7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219075</xdr:colOff>
      <xdr:row>7</xdr:row>
      <xdr:rowOff>180975</xdr:rowOff>
    </xdr:from>
    <xdr:to>
      <xdr:col>11</xdr:col>
      <xdr:colOff>542925</xdr:colOff>
      <xdr:row>29</xdr:row>
      <xdr:rowOff>104774</xdr:rowOff>
    </xdr:to>
    <xdr:graphicFrame macro="">
      <xdr:nvGraphicFramePr>
        <xdr:cNvPr id="2" name="Chart 1">
          <a:extLst>
            <a:ext uri="{FF2B5EF4-FFF2-40B4-BE49-F238E27FC236}">
              <a16:creationId xmlns:a16="http://schemas.microsoft.com/office/drawing/2014/main" id="{7DF2F8FE-A7F6-AC6A-845E-287E27101D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190499</xdr:colOff>
      <xdr:row>5</xdr:row>
      <xdr:rowOff>138111</xdr:rowOff>
    </xdr:from>
    <xdr:to>
      <xdr:col>12</xdr:col>
      <xdr:colOff>304800</xdr:colOff>
      <xdr:row>25</xdr:row>
      <xdr:rowOff>104775</xdr:rowOff>
    </xdr:to>
    <xdr:graphicFrame macro="">
      <xdr:nvGraphicFramePr>
        <xdr:cNvPr id="2" name="Chart 1">
          <a:extLst>
            <a:ext uri="{FF2B5EF4-FFF2-40B4-BE49-F238E27FC236}">
              <a16:creationId xmlns:a16="http://schemas.microsoft.com/office/drawing/2014/main" id="{4B759AF4-44DA-2B4A-88FA-1E4325C465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editAs="oneCell">
    <xdr:from>
      <xdr:col>2</xdr:col>
      <xdr:colOff>238125</xdr:colOff>
      <xdr:row>2</xdr:row>
      <xdr:rowOff>114300</xdr:rowOff>
    </xdr:from>
    <xdr:to>
      <xdr:col>5</xdr:col>
      <xdr:colOff>238125</xdr:colOff>
      <xdr:row>16</xdr:row>
      <xdr:rowOff>114300</xdr:rowOff>
    </xdr:to>
    <mc:AlternateContent xmlns:mc="http://schemas.openxmlformats.org/markup-compatibility/2006" xmlns:a14="http://schemas.microsoft.com/office/drawing/2010/main">
      <mc:Choice Requires="a14">
        <xdr:graphicFrame macro="">
          <xdr:nvGraphicFramePr>
            <xdr:cNvPr id="2" name="Current Price">
              <a:extLst>
                <a:ext uri="{FF2B5EF4-FFF2-40B4-BE49-F238E27FC236}">
                  <a16:creationId xmlns:a16="http://schemas.microsoft.com/office/drawing/2014/main" id="{214F274C-ABF7-9169-065B-64DADFEC7559}"/>
                </a:ext>
              </a:extLst>
            </xdr:cNvPr>
            <xdr:cNvGraphicFramePr/>
          </xdr:nvGraphicFramePr>
          <xdr:xfrm>
            <a:off x="0" y="0"/>
            <a:ext cx="0" cy="0"/>
          </xdr:xfrm>
          <a:graphic>
            <a:graphicData uri="http://schemas.microsoft.com/office/drawing/2010/slicer">
              <sle:slicer xmlns:sle="http://schemas.microsoft.com/office/drawing/2010/slicer" name="Current Price"/>
            </a:graphicData>
          </a:graphic>
        </xdr:graphicFrame>
      </mc:Choice>
      <mc:Fallback xmlns="">
        <xdr:sp macro="" textlink="">
          <xdr:nvSpPr>
            <xdr:cNvPr id="0" name=""/>
            <xdr:cNvSpPr>
              <a:spLocks noTextEdit="1"/>
            </xdr:cNvSpPr>
          </xdr:nvSpPr>
          <xdr:spPr>
            <a:xfrm>
              <a:off x="7877175" y="49530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enny Mwangi" refreshedDate="46048.721602662037" createdVersion="8" refreshedVersion="8" minRefreshableVersion="3" recordCount="112" xr:uid="{45157FBE-7246-4F83-B94C-0E37CEF3C5C7}">
  <cacheSource type="worksheet">
    <worksheetSource ref="A1:O113" sheet="Clean-Enrich"/>
  </cacheSource>
  <cacheFields count="15">
    <cacheField name="Product" numFmtId="0">
      <sharedItems count="109">
        <s v="115  Piece Set Of Multifunctional Precision Screwdrivers"/>
        <s v="Metal Decorative Hooks Key Hangers Entryway Wall Hooks Towel Hooks - Home"/>
        <s v="Portable Mini Cordless Car Vacuum Cleaner - Blue"/>
        <s v="Weighing Scale Digital Bathroom Body Fat Scale USB-Black"/>
        <s v="Portable Home Small Air Humidifier 3-Speed Fan - Green"/>
        <s v="220V 60W Electric Soldering Iron Kits With Tools, Tips, And Multimeter"/>
        <s v="137 Pieces Cake Decorating Tool Set Baking Supplies"/>
        <s v="Desk Foldable Fan Adjustable Fan Strong Wind 3 Gear Usb"/>
        <s v="LASA FOLDING TABLE SERVING STAND"/>
        <s v="13 In 1 Home Repair Tools Box Kit Set"/>
        <s v="Genebre 115 In 1 Screwdriver Repairing Tool Set For IPhone Cellphone Hand Tool"/>
        <s v="100 Pcs Crochet Hook Tool Set Knitting Hook Set With Box"/>
        <s v="40cm Gold DIY Acrylic Wall Sticker Clock"/>
        <s v="LASA Digital Thermometer And Hydrometer"/>
        <s v="Multifunction Laser Level With Adjustment Tripod"/>
        <s v="Anti-Skid Absorbent Insulation Coaster  For Home Office"/>
        <s v="Peacock  Throw Pillow Cushion Case For Home Car"/>
        <s v="LASA Aluminum Folding Truck Hand Cart - 68kg Max"/>
        <s v="LED Wall Digital Alarm Clock Study Home 12 / 24H Clock Calendar"/>
        <s v="3D Waterproof EVA Plastic Shower Curtain 1.8*2Mtrs"/>
        <s v="3PCS Single Head Knitting Crochet Sweater Needle Set"/>
        <s v="4pcs Bathroom/Kitchen Towel Rack,Roll Paper Holder,Towel Bars,Hook"/>
        <s v="LED Romantic Spaceship Starry Sky Projector,Children's Bedroom Night Light-Blue"/>
        <s v="Foldable Overbed Table/Desk"/>
        <s v="LASA 3 Tier Bamboo Shoe Bench Storage Shelf"/>
        <s v="Electronic Digital Display Vernier Caliper"/>
        <s v="Portable Wardrobe Nonwoven With 3 Hanging Rods And 6 Storage Shelves"/>
        <s v="12 Litre Black Insulated Lunch Box"/>
        <s v="52 Pieces Cake Decorating Tool Set Gift Kit Baking Supplies"/>
        <s v="MultiFunctional Storage Rack Multi-layer Bookshelf"/>
        <s v="Exfoliate And Exfoliate Face Towel - Black"/>
        <s v="12 Litre Insulated Lunch Box Grey"/>
        <s v="LED Eye Protection  Desk Lamp , Study, Reading, USB Fan - Double Pen Holder"/>
        <s v="53Pcs/Set Yarn Knitting Crochet Hooks With Bag - Fortune Cat"/>
        <s v="53 Pieces/Set Yarn Knitting Crochet Hooks With Bag - Pansies"/>
        <s v="DIY File Folder, Office Drawer File Holder, Pen Holder, Desktop Storage Rack"/>
        <s v="Classic Black Cat Cotton Hemp Pillow Case For Home Car"/>
        <s v="Punch-free Great Load Bearing Bathroom Storage Rack Wall Shelf-White"/>
        <s v="1/2/3 Seater Elastic Sofa Cover,Living Room/Home Decor Chair Cover-Grey"/>
        <s v="LASA Stainless Steel Double Wall Mount Soap Dispenser - 500ml"/>
        <s v="4M Float Switch Water Level Controller -Water Tank"/>
        <s v="Modern Sofa Throw Pillow Cover-45x45cm-Blue&amp;Red"/>
        <s v="Balloon Insert, Birthday Party Balloon Set, PU Leather"/>
        <s v="Shower Cap Wide Elastic Band Cover Reusable Bashroom Cap"/>
        <s v="Christmas Elk Fence Yard Lawn Decorations Cute For Holidays"/>
        <s v="60W Hot Melt Glue Sprayer - Efficient And Stable Glue Dispensing"/>
        <s v="Car Phone Charging Stand"/>
        <s v="2pcs Solar Street Light Flood Light Outdoor"/>
        <s v="Creative Owl Shape Keychain Black"/>
        <s v="Brush &amp; Paintbrush Cleaning Tool Pink"/>
        <s v="Pen Grips For Kids Pen Grip Posture Correction Tool For Kids"/>
        <s v="Pilates Cloth Bag Waterproof Durable High Capacity Purple"/>
        <s v="Multi-purpose Rice Drainage Basket And Fruit And Vegetable Drainage Sieve"/>
        <s v="Cute Christmas Fence Garden Decorations For Holiday Home"/>
        <s v="Simple Metal Dog Art Sculpture Decoration For Home Office"/>
        <s v="Christmas Fence Garden Decorations Outdoor For Holiday Home"/>
        <s v="Angle Measuring Tool Full Metal Multi Angle Measuring Tool"/>
        <s v="12V 19500rpm Handheld Electric Angle Grinder Tool - UK - Yellow/Black"/>
        <s v="5 Pieces/set Of Stainless Steel Induction Cooker Pots"/>
        <s v="Mythco 120COB Solar Wall Ligt With Motion Sensor And Remote Control 3 Modes"/>
        <s v="5-PCS Stainless Steel Cooking Pot Set With Steamed Slices"/>
        <s v="120W Cordless Vacuum Cleaners Handheld Electric Vacuum Cleaner"/>
        <s v="Intelligent  LED Body Sensor Wireless Lighting Night Light USB"/>
        <s v="VIC Wireless Vacuum Cleaner Dual Use For Home And Car 120W High Power Powerful"/>
        <s v="Artificial Potted Flowers Room Decorative Flowers (2 Pieces)"/>
        <s v="380ML USB Rechargeable Portable Small Blenders And Juicers"/>
        <s v="32PCS Portable Cordless Drill Set With Cyclic Battery Drive -26 Variable Speed"/>
        <s v="Agapeon Toothbrush Holder And Toothpaste Dispenser"/>
        <s v="Large Lazy Inflatable Sofa Chairs PVC Lounger Seat Bag"/>
        <s v="Watercolour Gold Foil Textured Print Pillow Cover"/>
        <s v="Wrought Iron Bathroom Shelf Wall Mounted Free Punch Toilet Rack"/>
        <s v="7-piece Set Of Storage Bags, Travel Storage Bags, Shoe Bags"/>
        <s v="Electric LED UV Mosquito Killer Lamp, Outdoor/Indoor Fly Killer Trap Light -USB"/>
        <s v="2PCS/LOT Solar LED Outdoor Intelligent Light Controlled Wall Lamp"/>
        <s v="3PCS Rotary Scraper Thermomix For Kitchen"/>
        <s v="Cushion Silicone Butt Cushion Summer Ice Cushion Honeycomb Gel Cushion"/>
        <s v="7PCS Silicone Thumb Knife Finger Protector Vegetable Harvesting Knife"/>
        <s v="Memory Foam Neck Pillow Cover, With Pillow Core - 50*30cm"/>
        <s v="Bedroom Simple Floor Hanging Clothes Rack Single Pole Hat Rack - White"/>
        <s v="5m Waterproof Spherical LED String Lights Outdoor Ball Chain Lights Party Lighting Decoration Adjustable"/>
        <s v="2 Pairs Cowhide Split Leather Work Gloves.32â„‰ Or Above Welding Gloves"/>
        <s v="Household Pineapple Peeler Peeler"/>
        <s v="Office Chair Lumbar Back Support Spine Posture Correction Pillow Car Cushion"/>
        <s v="Cartoon Car Decoration Cute Individuality For Car Home Desk"/>
        <s v="Outdoor Portable Water Bottle With Medicine Box - 600ML - Black"/>
        <s v="Wall-Mounted Toothbrush Toothpaste Holder With Multiple Slots"/>
        <s v="Multifunctional Hanging Storage Box Storage Bag (4 Layers)"/>
        <s v="Wall Clock With Hidden Safe Box"/>
        <s v="Portable Wine Table With Folding Round Table"/>
        <s v="Sewing Machine Needle Threader Stitch Insertion Tool Automatic Quick Sewing"/>
        <s v="6 Layers Steel Pipe Assembling Dustproof Storage Shoe Cabinet"/>
        <s v="2PCS Ice Silk Square Cushion Cover Pillowcases - 65x65cm"/>
        <s v="Wall Mount Automatic Toothpaste Dispenser Toothbrush Holder Toothpaste Squeezer"/>
        <s v="Portable Soap Dispenser Kitchen Detergent Press Box Kitchen Tools"/>
        <s v="4 Piece Coloured Stainless Steel Kitchenware Set"/>
        <s v="Metal Wall Clock Silver Dial Crystal Jewelry Round Home Decoration Wall Clock"/>
        <s v="Baby Early Education Shape And Color Cognitive Training Toys"/>
        <s v="8in1 Screwdriver With LED Light"/>
        <s v="Konka Healty Electric Kettle, 24-hour Heat Preservation,1.5L,800W, White"/>
        <s v="9pcs Gas Mask, For Painting, Dust, Formaldehyde Grinding, Polishing"/>
        <s v="24 Grid Wall-mounted Sundries Organiser Fabric Closet Bag Storage Rack"/>
        <s v="1PC Refrigerator Food Seal Pocket Fridge Bags"/>
        <s v="LED Solar Street Light-fake Camera"/>
        <s v="Cartoon Embroidered Mini Towel Bear Cotton Wash Cloth Hand 4pcs"/>
        <s v="Shower Nozzle Cleaning Unclogging Needle Mini Crevice Small Hole Cleaning Brush"/>
        <s v="Thickening Multipurpose Non Stick Easy To Clean Heat Resistant Spoon Pad"/>
        <s v="6 In 1 Bottle Can Opener Multifunctional Easy Opener"/>
        <s v="Wall-mounted Sticker Punch-free Plug Fixer"/>
        <s v="Black Simple Water Cup Wine Coaster Anti Slip Absorbent"/>
      </sharedItems>
    </cacheField>
    <cacheField name="cp" numFmtId="0">
      <sharedItems/>
    </cacheField>
    <cacheField name="Current Price" numFmtId="164">
      <sharedItems containsSemiMixedTypes="0" containsString="0" containsNumber="1" containsInteger="1" minValue="38" maxValue="3750" count="103">
        <n v="950"/>
        <n v="527"/>
        <n v="2199"/>
        <n v="1580"/>
        <n v="1740"/>
        <n v="2999"/>
        <n v="2319"/>
        <n v="988"/>
        <n v="1274"/>
        <n v="1600"/>
        <n v="799"/>
        <n v="990"/>
        <n v="552"/>
        <n v="501"/>
        <n v="1680"/>
        <n v="332"/>
        <n v="195"/>
        <n v="2025"/>
        <n v="998"/>
        <n v="38"/>
        <n v="1860"/>
        <n v="880"/>
        <n v="1650"/>
        <n v="2048"/>
        <n v="420"/>
        <n v="2880"/>
        <n v="1350"/>
        <n v="1758"/>
        <n v="2200"/>
        <n v="185"/>
        <n v="980"/>
        <n v="1820"/>
        <n v="1940"/>
        <n v="1980"/>
        <n v="1620"/>
        <n v="171"/>
        <n v="389"/>
        <n v="1800"/>
        <n v="2750"/>
        <n v="475"/>
        <n v="238"/>
        <n v="610"/>
        <n v="2132"/>
        <n v="999"/>
        <n v="1190"/>
        <n v="671"/>
        <n v="1200"/>
        <n v="199"/>
        <n v="299"/>
        <n v="1660"/>
        <n v="1459"/>
        <n v="499"/>
        <n v="699"/>
        <n v="2799"/>
        <n v="399"/>
        <n v="2170"/>
        <n v="458"/>
        <n v="2115"/>
        <n v="445"/>
        <n v="325"/>
        <n v="1220"/>
        <n v="1000"/>
        <n v="3750"/>
        <n v="382"/>
        <n v="2300"/>
        <n v="345"/>
        <n v="509"/>
        <n v="968"/>
        <n v="1570"/>
        <n v="790"/>
        <n v="690"/>
        <n v="1732"/>
        <n v="230"/>
        <n v="1189"/>
        <n v="979"/>
        <n v="1460"/>
        <n v="1666"/>
        <n v="330"/>
        <n v="176"/>
        <n v="1466"/>
        <n v="274"/>
        <n v="657"/>
        <n v="1468"/>
        <n v="630"/>
        <n v="850"/>
        <n v="1300"/>
        <n v="105"/>
        <n v="899"/>
        <n v="1526"/>
        <n v="1462"/>
        <n v="248"/>
        <n v="3546"/>
        <n v="525"/>
        <n v="1080"/>
        <n v="3640"/>
        <n v="1420"/>
        <n v="1875"/>
        <n v="198"/>
        <n v="1150"/>
        <n v="1658"/>
        <n v="1768"/>
        <n v="450"/>
        <n v="169"/>
      </sharedItems>
    </cacheField>
    <cacheField name="op" numFmtId="0">
      <sharedItems/>
    </cacheField>
    <cacheField name="Old Price" numFmtId="164">
      <sharedItems containsSemiMixedTypes="0" containsString="0" containsNumber="1" containsInteger="1" minValue="80" maxValue="6143"/>
    </cacheField>
    <cacheField name="Discount Amout" numFmtId="164">
      <sharedItems containsSemiMixedTypes="0" containsString="0" containsNumber="1" containsInteger="1" minValue="24" maxValue="2585"/>
    </cacheField>
    <cacheField name="Discount(%)" numFmtId="10">
      <sharedItems containsSemiMixedTypes="0" containsString="0" containsNumber="1" minValue="1.2638230647709321E-2" maxValue="0.64014466546112114" count="105">
        <n v="0.37704918032786883"/>
        <n v="0.47247247247247248"/>
        <n v="0.24769072870338693"/>
        <n v="0.36774709883953582"/>
        <n v="0.26146010186757218"/>
        <n v="8.8449848024316116E-2"/>
        <n v="0.23515831134564644"/>
        <n v="0.37468354430379747"/>
        <n v="0.54500000000000004"/>
        <n v="0.45373847729600547"/>
        <n v="0.20020020020020021"/>
        <n v="0.34"/>
        <n v="0.46666666666666667"/>
        <n v="0.41744186046511628"/>
        <n v="0.32773109243697479"/>
        <n v="0.51461988304093564"/>
        <n v="0.45833333333333331"/>
        <n v="0.49005288340468395"/>
        <n v="0.18924033522573669"/>
        <n v="0.49237029501525942"/>
        <n v="0.52500000000000002"/>
        <n v="0.42236024844720499"/>
        <n v="0.34814814814814815"/>
        <n v="0.23255813953488372"/>
        <n v="0.54488888888888887"/>
        <n v="0.3508500772797527"/>
        <n v="0.18181818181818182"/>
        <n v="0.32160804020100503"/>
        <n v="0.2965186074429772"/>
        <n v="0.46078431372549017"/>
        <n v="0.51570680628272247"/>
        <n v="0.34228187919463088"/>
        <n v="0.47851002865329512"/>
        <n v="0.26792452830188679"/>
        <n v="0.26639496109670247"/>
        <n v="0.39776951672862454"/>
        <n v="0.40701219512195119"/>
        <n v="0.33333333333333331"/>
        <n v="0.38492507269067322"/>
        <n v="0.48979591836734693"/>
        <n v="0.5"/>
        <n v="0.42452830188679247"/>
        <n v="1.705855232826187E-2"/>
        <n v="0.50049999999999994"/>
        <n v="0.49012158054711247"/>
        <n v="0.38461538461538464"/>
        <n v="0.60515873015873012"/>
        <n v="0.50166666666666671"/>
        <n v="2.2954679223072396E-2"/>
        <n v="0.22135416666666666"/>
        <n v="2.6684456304202801E-2"/>
        <n v="0.4050632911392405"/>
        <n v="0.44555555555555554"/>
        <n v="0.47952345495160087"/>
        <n v="0.49010848755583919"/>
        <n v="0.26535433070866143"/>
        <n v="0.5546875"/>
        <n v="0.13200000000000001"/>
        <n v="0.53549695740365111"/>
        <n v="0.55000000000000004"/>
        <n v="0.49026345933562426"/>
        <n v="0.5220588235294118"/>
        <n v="0.21543408360128619"/>
        <n v="0.45424476295479604"/>
        <n v="0.38954908025394758"/>
        <n v="0.45428571428571429"/>
        <n v="0.29012345679012347"/>
        <n v="0.42691029900332228"/>
        <n v="0.43381535038932145"/>
        <n v="0.46637265711135611"/>
        <n v="0.4745649263721553"/>
        <n v="0.46801346801346799"/>
        <n v="0.42499999999999999"/>
        <n v="3.7242912729294052E-2"/>
        <n v="0.48888888888888887"/>
        <n v="0.45929968167348795"/>
        <n v="0.49010416666666667"/>
        <n v="0.36244541484716158"/>
        <n v="1.9423190111830489E-2"/>
        <n v="0.48995363214837712"/>
        <n v="0.48985507246376814"/>
        <n v="0.13713949381989404"/>
        <n v="0.48975791433891991"/>
        <n v="0.11222222222222222"/>
        <n v="0.48990683229813664"/>
        <n v="0.13596233078281342"/>
        <n v="0.42727272727272725"/>
        <n v="0.48"/>
        <n v="0.47499999999999998"/>
        <n v="0.47086521483225424"/>
        <n v="8.0722891566265054E-2"/>
        <n v="2.4683122081387593E-2"/>
        <n v="0.48971193415637859"/>
        <n v="4.1362530413625302E-2"/>
        <n v="0.42369263607257202"/>
        <n v="0.20662598081952921"/>
        <n v="0.41322314049586778"/>
        <n v="1.2638230647709321E-2"/>
        <n v="0.23846153846153847"/>
        <n v="0.3379389752446747"/>
        <n v="0.34254143646408841"/>
        <n v="2.4131842260153032E-2"/>
        <n v="1.7231795441912175E-2"/>
        <n v="0.64014466546112114"/>
        <n v="0.47187499999999999"/>
      </sharedItems>
    </cacheField>
    <cacheField name="IF" numFmtId="10">
      <sharedItems/>
    </cacheField>
    <cacheField name="Discount Category" numFmtId="10">
      <sharedItems count="3">
        <s v="Medium Discount"/>
        <s v="High Discount"/>
        <s v="Low Discount"/>
      </sharedItems>
    </cacheField>
    <cacheField name="re" numFmtId="0">
      <sharedItems containsMixedTypes="1" containsNumber="1" containsInteger="1" minValue="-69" maxValue="-1"/>
    </cacheField>
    <cacheField name="Review " numFmtId="0">
      <sharedItems containsMixedTypes="1" containsNumber="1" containsInteger="1" minValue="1" maxValue="69" count="24">
        <n v="2"/>
        <n v="14"/>
        <n v="24"/>
        <n v="7"/>
        <n v="5"/>
        <n v="15"/>
        <n v="55"/>
        <n v="12"/>
        <n v="39"/>
        <n v="6"/>
        <n v="9"/>
        <n v="3"/>
        <n v="44"/>
        <n v="13"/>
        <s v="Not Provided"/>
        <n v="49"/>
        <n v="20"/>
        <n v="32"/>
        <n v="1"/>
        <n v="36"/>
        <n v="10"/>
        <n v="69"/>
        <n v="16"/>
        <n v="17"/>
      </sharedItems>
    </cacheField>
    <cacheField name="ra" numFmtId="0">
      <sharedItems/>
    </cacheField>
    <cacheField name="Rating" numFmtId="2">
      <sharedItems containsMixedTypes="1" containsNumber="1" minValue="2" maxValue="5" count="23">
        <n v="4.5"/>
        <n v="4.0999999999999996"/>
        <n v="4.5999999999999996"/>
        <n v="4.7"/>
        <n v="4.8"/>
        <n v="4"/>
        <n v="3.8"/>
        <n v="4.2"/>
        <n v="5"/>
        <n v="3.3"/>
        <s v="Not Provided"/>
        <n v="4.4000000000000004"/>
        <n v="4.3"/>
        <n v="2.5"/>
        <n v="3"/>
        <n v="2.1"/>
        <n v="2.8"/>
        <n v="2.7"/>
        <n v="2.9"/>
        <n v="2.2000000000000002"/>
        <n v="2.2999999999999998"/>
        <n v="2.6"/>
        <n v="2"/>
      </sharedItems>
    </cacheField>
    <cacheField name="IF2" numFmtId="0">
      <sharedItems containsBlank="1"/>
    </cacheField>
    <cacheField name="Rating Category" numFmtId="0">
      <sharedItems count="4">
        <s v="Excellent"/>
        <s v="Average"/>
        <s v="Not Provided"/>
        <s v="Poor"/>
      </sharedItems>
    </cacheField>
  </cacheFields>
  <extLst>
    <ext xmlns:x14="http://schemas.microsoft.com/office/spreadsheetml/2009/9/main" uri="{725AE2AE-9491-48be-B2B4-4EB974FC3084}">
      <x14:pivotCacheDefinition pivotCacheId="124616554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2">
  <r>
    <x v="0"/>
    <s v="KSh 950"/>
    <x v="0"/>
    <s v="KSh 1,525"/>
    <n v="1525"/>
    <n v="575"/>
    <x v="0"/>
    <s v="Medium Discount"/>
    <x v="0"/>
    <n v="-2"/>
    <x v="0"/>
    <s v="4.5 out of 5"/>
    <x v="0"/>
    <s v="Excellent"/>
    <x v="0"/>
  </r>
  <r>
    <x v="1"/>
    <s v="KSh 527"/>
    <x v="1"/>
    <s v="KSh 999"/>
    <n v="999"/>
    <n v="472"/>
    <x v="1"/>
    <s v="High Discount"/>
    <x v="1"/>
    <n v="-14"/>
    <x v="1"/>
    <s v="4.1 out of 5"/>
    <x v="1"/>
    <s v="Average"/>
    <x v="1"/>
  </r>
  <r>
    <x v="2"/>
    <s v="KSh 2,199"/>
    <x v="2"/>
    <s v="KSh 2,923"/>
    <n v="2923"/>
    <n v="724"/>
    <x v="2"/>
    <s v="Medium Discount"/>
    <x v="0"/>
    <n v="-24"/>
    <x v="2"/>
    <s v="4.6 out of 5"/>
    <x v="2"/>
    <s v="Excellent"/>
    <x v="0"/>
  </r>
  <r>
    <x v="3"/>
    <s v="KSh 1,580"/>
    <x v="3"/>
    <s v="KSh 2,499"/>
    <n v="2499"/>
    <n v="919"/>
    <x v="3"/>
    <s v="Medium Discount"/>
    <x v="0"/>
    <n v="-7"/>
    <x v="3"/>
    <s v="4.7 out of 5"/>
    <x v="3"/>
    <s v="Excellent"/>
    <x v="0"/>
  </r>
  <r>
    <x v="4"/>
    <s v="KSh 1,740"/>
    <x v="4"/>
    <s v="KSh 2,356"/>
    <n v="2356"/>
    <n v="616"/>
    <x v="4"/>
    <s v="Medium Discount"/>
    <x v="0"/>
    <n v="-5"/>
    <x v="4"/>
    <s v="4.8 out of 5"/>
    <x v="4"/>
    <s v="Excellent"/>
    <x v="0"/>
  </r>
  <r>
    <x v="5"/>
    <s v="KSh 2,999"/>
    <x v="5"/>
    <s v="KSh 3,290"/>
    <n v="3290"/>
    <n v="291"/>
    <x v="5"/>
    <s v="Low Discount"/>
    <x v="2"/>
    <n v="-15"/>
    <x v="5"/>
    <s v="4 out of 5"/>
    <x v="5"/>
    <s v="Average"/>
    <x v="1"/>
  </r>
  <r>
    <x v="6"/>
    <s v="KSh 2,319"/>
    <x v="6"/>
    <s v="KSh 3,032"/>
    <n v="3032"/>
    <n v="713"/>
    <x v="6"/>
    <s v="Medium Discount"/>
    <x v="0"/>
    <n v="-55"/>
    <x v="6"/>
    <s v="4.6 out of 5"/>
    <x v="2"/>
    <s v="Excellent"/>
    <x v="0"/>
  </r>
  <r>
    <x v="7"/>
    <s v="KSh 988"/>
    <x v="7"/>
    <s v="KSh 1,580"/>
    <n v="1580"/>
    <n v="592"/>
    <x v="7"/>
    <s v="Medium Discount"/>
    <x v="0"/>
    <n v="-2"/>
    <x v="0"/>
    <s v="4 out of 5"/>
    <x v="5"/>
    <s v="Average"/>
    <x v="1"/>
  </r>
  <r>
    <x v="8"/>
    <s v="KSh 1,274"/>
    <x v="8"/>
    <s v="KSh 2,800"/>
    <n v="2800"/>
    <n v="1526"/>
    <x v="8"/>
    <s v="High Discount"/>
    <x v="1"/>
    <n v="-5"/>
    <x v="4"/>
    <s v="4.8 out of 5"/>
    <x v="4"/>
    <s v="Excellent"/>
    <x v="0"/>
  </r>
  <r>
    <x v="9"/>
    <s v="KSh 1,600"/>
    <x v="9"/>
    <s v="KSh 2,929"/>
    <n v="2929"/>
    <n v="1329"/>
    <x v="9"/>
    <s v="High Discount"/>
    <x v="1"/>
    <n v="-5"/>
    <x v="4"/>
    <s v="3.8 out of 5"/>
    <x v="6"/>
    <s v="Average"/>
    <x v="1"/>
  </r>
  <r>
    <x v="10"/>
    <s v="KSh 799"/>
    <x v="10"/>
    <s v="KSh 999"/>
    <n v="999"/>
    <n v="200"/>
    <x v="10"/>
    <s v="Medium Discount"/>
    <x v="0"/>
    <n v="-12"/>
    <x v="7"/>
    <s v="4.1 out of 5"/>
    <x v="1"/>
    <s v="Average"/>
    <x v="1"/>
  </r>
  <r>
    <x v="11"/>
    <s v="KSh 990"/>
    <x v="11"/>
    <s v="KSh 1,500"/>
    <n v="1500"/>
    <n v="510"/>
    <x v="11"/>
    <s v="Medium Discount"/>
    <x v="0"/>
    <n v="-39"/>
    <x v="8"/>
    <s v="4.7 out of 5"/>
    <x v="3"/>
    <s v="Excellent"/>
    <x v="0"/>
  </r>
  <r>
    <x v="12"/>
    <s v="KSh 552"/>
    <x v="12"/>
    <s v="KSh 1,035"/>
    <n v="1035"/>
    <n v="483"/>
    <x v="12"/>
    <s v="High Discount"/>
    <x v="1"/>
    <n v="-12"/>
    <x v="7"/>
    <s v="4.8 out of 5"/>
    <x v="4"/>
    <s v="Excellent"/>
    <x v="0"/>
  </r>
  <r>
    <x v="13"/>
    <s v="KSh 501"/>
    <x v="13"/>
    <s v="KSh 860"/>
    <n v="860"/>
    <n v="359"/>
    <x v="13"/>
    <s v="High Discount"/>
    <x v="1"/>
    <n v="-6"/>
    <x v="9"/>
    <s v="4.5 out of 5"/>
    <x v="0"/>
    <s v="Excellent"/>
    <x v="0"/>
  </r>
  <r>
    <x v="14"/>
    <s v="KSh 1,680"/>
    <x v="14"/>
    <s v="KSh 2,499"/>
    <n v="2499"/>
    <n v="819"/>
    <x v="14"/>
    <s v="Medium Discount"/>
    <x v="0"/>
    <n v="-9"/>
    <x v="10"/>
    <s v="4.2 out of 5"/>
    <x v="7"/>
    <s v="Average"/>
    <x v="1"/>
  </r>
  <r>
    <x v="15"/>
    <s v="KSh 332"/>
    <x v="15"/>
    <s v="KSh 684"/>
    <n v="684"/>
    <n v="352"/>
    <x v="15"/>
    <s v="High Discount"/>
    <x v="1"/>
    <n v="-2"/>
    <x v="0"/>
    <s v="5 out of 5"/>
    <x v="8"/>
    <s v="Excellent"/>
    <x v="0"/>
  </r>
  <r>
    <x v="16"/>
    <s v="KSh 195"/>
    <x v="16"/>
    <s v="KSh 360"/>
    <n v="360"/>
    <n v="165"/>
    <x v="16"/>
    <s v="High Discount"/>
    <x v="1"/>
    <n v="-2"/>
    <x v="0"/>
    <s v="5 out of 5"/>
    <x v="8"/>
    <s v="Excellent"/>
    <x v="0"/>
  </r>
  <r>
    <x v="17"/>
    <s v="KSh 2,025"/>
    <x v="17"/>
    <s v="KSh 3,971"/>
    <n v="3971"/>
    <n v="1946"/>
    <x v="17"/>
    <s v="High Discount"/>
    <x v="1"/>
    <n v="-3"/>
    <x v="11"/>
    <s v="5 out of 5"/>
    <x v="8"/>
    <s v="Excellent"/>
    <x v="0"/>
  </r>
  <r>
    <x v="18"/>
    <s v="KSh 2,999"/>
    <x v="5"/>
    <s v="KSh 3,699"/>
    <n v="3699"/>
    <n v="700"/>
    <x v="18"/>
    <s v="Low Discount"/>
    <x v="2"/>
    <n v="-5"/>
    <x v="4"/>
    <s v="4.6 out of 5"/>
    <x v="2"/>
    <s v="Excellent"/>
    <x v="0"/>
  </r>
  <r>
    <x v="19"/>
    <s v="KSh 998"/>
    <x v="18"/>
    <s v="KSh 1,966"/>
    <n v="1966"/>
    <n v="968"/>
    <x v="19"/>
    <s v="High Discount"/>
    <x v="1"/>
    <n v="-44"/>
    <x v="12"/>
    <s v="4.6 out of 5"/>
    <x v="2"/>
    <s v="Excellent"/>
    <x v="0"/>
  </r>
  <r>
    <x v="20"/>
    <s v="KSh 38"/>
    <x v="19"/>
    <s v="KSh 80"/>
    <n v="80"/>
    <n v="42"/>
    <x v="20"/>
    <s v="High Discount"/>
    <x v="1"/>
    <n v="-13"/>
    <x v="13"/>
    <s v="3.3 out of 5"/>
    <x v="9"/>
    <s v="Average"/>
    <x v="1"/>
  </r>
  <r>
    <x v="21"/>
    <s v="KSh 1,860"/>
    <x v="20"/>
    <s v="KSh 3,220"/>
    <n v="3220"/>
    <n v="1360"/>
    <x v="21"/>
    <s v="High Discount"/>
    <x v="1"/>
    <s v="Not Provided"/>
    <x v="14"/>
    <s v="Not Provided"/>
    <x v="10"/>
    <s v="Not Provided"/>
    <x v="2"/>
  </r>
  <r>
    <x v="22"/>
    <s v="KSh 880"/>
    <x v="21"/>
    <s v="KSh 1,350"/>
    <n v="1350"/>
    <n v="470"/>
    <x v="22"/>
    <s v="Medium Discount"/>
    <x v="0"/>
    <n v="-6"/>
    <x v="9"/>
    <s v="4 out of 5"/>
    <x v="5"/>
    <s v="Average"/>
    <x v="1"/>
  </r>
  <r>
    <x v="23"/>
    <s v="KSh 1,650"/>
    <x v="22"/>
    <s v="KSh 2,150"/>
    <n v="2150"/>
    <n v="500"/>
    <x v="23"/>
    <s v="Medium Discount"/>
    <x v="0"/>
    <n v="-14"/>
    <x v="1"/>
    <s v="4.4 out of 5"/>
    <x v="11"/>
    <s v="Average"/>
    <x v="1"/>
  </r>
  <r>
    <x v="24"/>
    <s v="KSh 2,048"/>
    <x v="23"/>
    <s v="KSh 4,500"/>
    <n v="4500"/>
    <n v="2452"/>
    <x v="24"/>
    <s v="High Discount"/>
    <x v="1"/>
    <n v="-7"/>
    <x v="3"/>
    <s v="4.3 out of 5"/>
    <x v="12"/>
    <s v="Average"/>
    <x v="1"/>
  </r>
  <r>
    <x v="25"/>
    <s v="KSh 420"/>
    <x v="24"/>
    <s v="KSh 647"/>
    <n v="647"/>
    <n v="227"/>
    <x v="25"/>
    <s v="Medium Discount"/>
    <x v="0"/>
    <n v="-49"/>
    <x v="15"/>
    <s v="4.6 out of 5"/>
    <x v="2"/>
    <s v="Excellent"/>
    <x v="0"/>
  </r>
  <r>
    <x v="26"/>
    <s v="KSh 2,880"/>
    <x v="25"/>
    <s v="KSh 3,520"/>
    <n v="3520"/>
    <n v="640"/>
    <x v="26"/>
    <s v="Low Discount"/>
    <x v="2"/>
    <n v="-12"/>
    <x v="7"/>
    <s v="3.8 out of 5"/>
    <x v="6"/>
    <s v="Average"/>
    <x v="1"/>
  </r>
  <r>
    <x v="27"/>
    <s v="KSh 1,350"/>
    <x v="26"/>
    <s v="KSh 1,990"/>
    <n v="1990"/>
    <n v="640"/>
    <x v="27"/>
    <s v="Medium Discount"/>
    <x v="0"/>
    <n v="-13"/>
    <x v="13"/>
    <s v="3.8 out of 5"/>
    <x v="6"/>
    <s v="Average"/>
    <x v="1"/>
  </r>
  <r>
    <x v="28"/>
    <s v="KSh 1,758"/>
    <x v="27"/>
    <s v="KSh 2,499"/>
    <n v="2499"/>
    <n v="741"/>
    <x v="28"/>
    <s v="Medium Discount"/>
    <x v="0"/>
    <n v="-20"/>
    <x v="16"/>
    <s v="4.1 out of 5"/>
    <x v="1"/>
    <s v="Average"/>
    <x v="1"/>
  </r>
  <r>
    <x v="29"/>
    <s v="KSh 2,200"/>
    <x v="28"/>
    <s v="KSh 4,080"/>
    <n v="4080"/>
    <n v="1880"/>
    <x v="29"/>
    <s v="High Discount"/>
    <x v="1"/>
    <s v="Not Provided"/>
    <x v="14"/>
    <s v="Not Provided"/>
    <x v="10"/>
    <s v="Not Provided"/>
    <x v="2"/>
  </r>
  <r>
    <x v="30"/>
    <s v="KSh 185"/>
    <x v="29"/>
    <s v="KSh 382"/>
    <n v="382"/>
    <n v="197"/>
    <x v="30"/>
    <s v="High Discount"/>
    <x v="1"/>
    <n v="-9"/>
    <x v="10"/>
    <s v="4.3 out of 5"/>
    <x v="12"/>
    <s v="Average"/>
    <x v="1"/>
  </r>
  <r>
    <x v="31"/>
    <s v="KSh 980"/>
    <x v="30"/>
    <s v="KSh 1,490"/>
    <n v="1490"/>
    <n v="510"/>
    <x v="31"/>
    <s v="Medium Discount"/>
    <x v="0"/>
    <n v="-12"/>
    <x v="7"/>
    <s v="4.7 out of 5"/>
    <x v="3"/>
    <s v="Excellent"/>
    <x v="0"/>
  </r>
  <r>
    <x v="32"/>
    <s v="KSh 1,820"/>
    <x v="31"/>
    <s v="KSh 3,490"/>
    <n v="3490"/>
    <n v="1670"/>
    <x v="32"/>
    <s v="High Discount"/>
    <x v="1"/>
    <n v="-9"/>
    <x v="10"/>
    <s v="4.3 out of 5"/>
    <x v="12"/>
    <s v="Average"/>
    <x v="1"/>
  </r>
  <r>
    <x v="33"/>
    <s v="KSh 1,940"/>
    <x v="32"/>
    <s v="KSh 2,650"/>
    <n v="2650"/>
    <n v="710"/>
    <x v="33"/>
    <s v="Medium Discount"/>
    <x v="0"/>
    <n v="-20"/>
    <x v="16"/>
    <s v="4.7 out of 5"/>
    <x v="3"/>
    <s v="Excellent"/>
    <x v="0"/>
  </r>
  <r>
    <x v="34"/>
    <s v="KSh 1,980"/>
    <x v="33"/>
    <s v="KSh 2,699"/>
    <n v="2699"/>
    <n v="719"/>
    <x v="34"/>
    <s v="Medium Discount"/>
    <x v="0"/>
    <n v="-32"/>
    <x v="17"/>
    <s v="4.5 out of 5"/>
    <x v="0"/>
    <s v="Excellent"/>
    <x v="0"/>
  </r>
  <r>
    <x v="35"/>
    <s v="KSh 1,620"/>
    <x v="34"/>
    <s v="KSh 2,690"/>
    <n v="2690"/>
    <n v="1070"/>
    <x v="35"/>
    <s v="Medium Discount"/>
    <x v="0"/>
    <n v="-1"/>
    <x v="18"/>
    <s v="5 out of 5"/>
    <x v="8"/>
    <s v="Excellent"/>
    <x v="0"/>
  </r>
  <r>
    <x v="36"/>
    <s v="KSh 171"/>
    <x v="35"/>
    <s v="KSh 360"/>
    <n v="360"/>
    <n v="189"/>
    <x v="20"/>
    <s v="High Discount"/>
    <x v="1"/>
    <n v="-2"/>
    <x v="0"/>
    <s v="5 out of 5"/>
    <x v="8"/>
    <s v="Excellent"/>
    <x v="0"/>
  </r>
  <r>
    <x v="37"/>
    <s v="KSh 389"/>
    <x v="36"/>
    <s v="KSh 656"/>
    <n v="656"/>
    <n v="267"/>
    <x v="36"/>
    <s v="High Discount"/>
    <x v="1"/>
    <n v="-36"/>
    <x v="19"/>
    <s v="4.3 out of 5"/>
    <x v="12"/>
    <s v="Average"/>
    <x v="1"/>
  </r>
  <r>
    <x v="38"/>
    <s v="KSh 1,800"/>
    <x v="37"/>
    <s v="KSh 2,700"/>
    <n v="2700"/>
    <n v="900"/>
    <x v="37"/>
    <s v="Medium Discount"/>
    <x v="0"/>
    <n v="-2"/>
    <x v="0"/>
    <s v="4.5 out of 5"/>
    <x v="0"/>
    <s v="Excellent"/>
    <x v="0"/>
  </r>
  <r>
    <x v="39"/>
    <s v="KSh 2,750"/>
    <x v="38"/>
    <s v="KSh 4,471"/>
    <n v="4471"/>
    <n v="1721"/>
    <x v="38"/>
    <s v="Medium Discount"/>
    <x v="0"/>
    <s v="Not Provided"/>
    <x v="14"/>
    <s v="Not Provided"/>
    <x v="10"/>
    <m/>
    <x v="2"/>
  </r>
  <r>
    <x v="40"/>
    <s v="KSh 475"/>
    <x v="39"/>
    <s v="KSh 931"/>
    <n v="931"/>
    <n v="456"/>
    <x v="39"/>
    <s v="High Discount"/>
    <x v="1"/>
    <s v="Not Provided"/>
    <x v="14"/>
    <s v="Not Provided"/>
    <x v="10"/>
    <m/>
    <x v="2"/>
  </r>
  <r>
    <x v="41"/>
    <s v="KSh 238"/>
    <x v="40"/>
    <s v="KSh 476"/>
    <n v="476"/>
    <n v="238"/>
    <x v="40"/>
    <s v="High Discount"/>
    <x v="1"/>
    <s v="Not Provided"/>
    <x v="14"/>
    <s v="Not Provided"/>
    <x v="10"/>
    <m/>
    <x v="2"/>
  </r>
  <r>
    <x v="42"/>
    <s v="KSh 610"/>
    <x v="41"/>
    <s v="KSh 1,060"/>
    <n v="1060"/>
    <n v="450"/>
    <x v="41"/>
    <s v="High Discount"/>
    <x v="1"/>
    <s v="Not Provided"/>
    <x v="14"/>
    <s v="Not Provided"/>
    <x v="10"/>
    <m/>
    <x v="2"/>
  </r>
  <r>
    <x v="43"/>
    <s v="KSh 2,132"/>
    <x v="42"/>
    <s v="KSh 2,169"/>
    <n v="2169"/>
    <n v="37"/>
    <x v="42"/>
    <s v="Low Discount"/>
    <x v="2"/>
    <s v="Not Provided"/>
    <x v="14"/>
    <s v="Not Provided"/>
    <x v="10"/>
    <m/>
    <x v="2"/>
  </r>
  <r>
    <x v="44"/>
    <s v="KSh 999"/>
    <x v="43"/>
    <s v="KSh 2,000"/>
    <n v="2000"/>
    <n v="1001"/>
    <x v="43"/>
    <s v="High Discount"/>
    <x v="1"/>
    <s v="Not Provided"/>
    <x v="14"/>
    <s v="Not Provided"/>
    <x v="10"/>
    <m/>
    <x v="2"/>
  </r>
  <r>
    <x v="45"/>
    <s v="KSh 1,190"/>
    <x v="44"/>
    <s v="KSh 1,785"/>
    <n v="1785"/>
    <n v="595"/>
    <x v="37"/>
    <s v="Medium Discount"/>
    <x v="0"/>
    <s v="Not Provided"/>
    <x v="14"/>
    <s v="Not Provided"/>
    <x v="10"/>
    <m/>
    <x v="2"/>
  </r>
  <r>
    <x v="46"/>
    <s v="KSh 671"/>
    <x v="45"/>
    <s v="KSh 1,316"/>
    <n v="1316"/>
    <n v="645"/>
    <x v="44"/>
    <s v="High Discount"/>
    <x v="1"/>
    <s v="Not Provided"/>
    <x v="14"/>
    <s v="Not Provided"/>
    <x v="10"/>
    <m/>
    <x v="2"/>
  </r>
  <r>
    <x v="47"/>
    <s v="KSh 1,200"/>
    <x v="46"/>
    <s v="KSh 1,950"/>
    <n v="1950"/>
    <n v="750"/>
    <x v="45"/>
    <s v="Medium Discount"/>
    <x v="0"/>
    <s v="Not Provided"/>
    <x v="14"/>
    <s v="Not Provided"/>
    <x v="10"/>
    <m/>
    <x v="2"/>
  </r>
  <r>
    <x v="48"/>
    <s v="KSh 199"/>
    <x v="47"/>
    <s v="KSh 504"/>
    <n v="504"/>
    <n v="305"/>
    <x v="46"/>
    <s v="High Discount"/>
    <x v="1"/>
    <s v="Not Provided"/>
    <x v="14"/>
    <s v="Not Provided"/>
    <x v="10"/>
    <m/>
    <x v="2"/>
  </r>
  <r>
    <x v="49"/>
    <s v="KSh 299"/>
    <x v="48"/>
    <s v="KSh 600"/>
    <n v="600"/>
    <n v="301"/>
    <x v="47"/>
    <s v="High Discount"/>
    <x v="1"/>
    <s v="Not Provided"/>
    <x v="14"/>
    <s v="Not Provided"/>
    <x v="10"/>
    <m/>
    <x v="2"/>
  </r>
  <r>
    <x v="50"/>
    <s v="KSh 1,660"/>
    <x v="49"/>
    <s v="KSh 1,699"/>
    <n v="1699"/>
    <n v="39"/>
    <x v="48"/>
    <s v="Low Discount"/>
    <x v="2"/>
    <s v="Not Provided"/>
    <x v="14"/>
    <s v="Not Provided"/>
    <x v="10"/>
    <m/>
    <x v="2"/>
  </r>
  <r>
    <x v="51"/>
    <s v="KSh 299"/>
    <x v="48"/>
    <s v="KSh 384"/>
    <n v="384"/>
    <n v="85"/>
    <x v="49"/>
    <s v="Medium Discount"/>
    <x v="0"/>
    <s v="Not Provided"/>
    <x v="14"/>
    <s v="Not Provided"/>
    <x v="10"/>
    <m/>
    <x v="2"/>
  </r>
  <r>
    <x v="52"/>
    <s v="KSh 1,459"/>
    <x v="50"/>
    <s v="KSh 1,499"/>
    <n v="1499"/>
    <n v="40"/>
    <x v="50"/>
    <s v="Low Discount"/>
    <x v="2"/>
    <s v="Not Provided"/>
    <x v="14"/>
    <s v="Not Provided"/>
    <x v="10"/>
    <m/>
    <x v="2"/>
  </r>
  <r>
    <x v="53"/>
    <s v="KSh 799"/>
    <x v="10"/>
    <s v="KSh 1,343"/>
    <n v="1343"/>
    <n v="544"/>
    <x v="51"/>
    <s v="High Discount"/>
    <x v="1"/>
    <s v="Not Provided"/>
    <x v="14"/>
    <s v="Not Provided"/>
    <x v="10"/>
    <m/>
    <x v="2"/>
  </r>
  <r>
    <x v="54"/>
    <s v="KSh 499"/>
    <x v="51"/>
    <s v="KSh 900"/>
    <n v="900"/>
    <n v="401"/>
    <x v="52"/>
    <s v="High Discount"/>
    <x v="1"/>
    <s v="Not Provided"/>
    <x v="14"/>
    <s v="Not Provided"/>
    <x v="10"/>
    <m/>
    <x v="2"/>
  </r>
  <r>
    <x v="55"/>
    <s v="KSh 699"/>
    <x v="52"/>
    <s v="KSh 1,343"/>
    <n v="1343"/>
    <n v="644"/>
    <x v="53"/>
    <s v="High Discount"/>
    <x v="1"/>
    <s v="Not Provided"/>
    <x v="14"/>
    <s v="Not Provided"/>
    <x v="10"/>
    <m/>
    <x v="2"/>
  </r>
  <r>
    <x v="56"/>
    <s v="KSh 799"/>
    <x v="10"/>
    <s v="KSh 1,567"/>
    <n v="1567"/>
    <n v="768"/>
    <x v="54"/>
    <s v="High Discount"/>
    <x v="1"/>
    <s v="Not Provided"/>
    <x v="14"/>
    <s v="Not Provided"/>
    <x v="10"/>
    <m/>
    <x v="2"/>
  </r>
  <r>
    <x v="57"/>
    <s v="KSh 2,799"/>
    <x v="53"/>
    <s v="KSh 3,810"/>
    <n v="3810"/>
    <n v="1011"/>
    <x v="55"/>
    <s v="Medium Discount"/>
    <x v="0"/>
    <s v="Not Provided"/>
    <x v="14"/>
    <s v="Not Provided"/>
    <x v="10"/>
    <m/>
    <x v="2"/>
  </r>
  <r>
    <x v="54"/>
    <s v="KSh 399"/>
    <x v="54"/>
    <s v="KSh 896"/>
    <n v="896"/>
    <n v="497"/>
    <x v="56"/>
    <s v="High Discount"/>
    <x v="1"/>
    <s v="Not Provided"/>
    <x v="14"/>
    <s v="Not Provided"/>
    <x v="10"/>
    <m/>
    <x v="2"/>
  </r>
  <r>
    <x v="58"/>
    <s v="KSh 2,170"/>
    <x v="55"/>
    <s v="KSh 2,500"/>
    <n v="2500"/>
    <n v="330"/>
    <x v="57"/>
    <s v="Low Discount"/>
    <x v="2"/>
    <n v="-6"/>
    <x v="9"/>
    <s v="2.5 out of 5"/>
    <x v="13"/>
    <m/>
    <x v="3"/>
  </r>
  <r>
    <x v="59"/>
    <s v="KSh 458"/>
    <x v="56"/>
    <s v="KSh 986"/>
    <n v="986"/>
    <n v="528"/>
    <x v="58"/>
    <s v="High Discount"/>
    <x v="1"/>
    <n v="-10"/>
    <x v="20"/>
    <s v="3 out of 5"/>
    <x v="14"/>
    <m/>
    <x v="1"/>
  </r>
  <r>
    <x v="60"/>
    <s v="KSh 2,115"/>
    <x v="57"/>
    <s v="KSh 4,700"/>
    <n v="4700"/>
    <n v="2585"/>
    <x v="59"/>
    <s v="High Discount"/>
    <x v="1"/>
    <n v="-13"/>
    <x v="13"/>
    <s v="2.1 out of 5"/>
    <x v="15"/>
    <m/>
    <x v="3"/>
  </r>
  <r>
    <x v="61"/>
    <s v="KSh 445"/>
    <x v="58"/>
    <s v="KSh 873"/>
    <n v="873"/>
    <n v="428"/>
    <x v="60"/>
    <s v="High Discount"/>
    <x v="1"/>
    <n v="-69"/>
    <x v="21"/>
    <s v="2.8 out of 5"/>
    <x v="16"/>
    <m/>
    <x v="3"/>
  </r>
  <r>
    <x v="62"/>
    <s v="KSh 325"/>
    <x v="59"/>
    <s v="KSh 680"/>
    <n v="680"/>
    <n v="355"/>
    <x v="61"/>
    <s v="High Discount"/>
    <x v="1"/>
    <n v="-15"/>
    <x v="5"/>
    <s v="2.7 out of 5"/>
    <x v="17"/>
    <m/>
    <x v="3"/>
  </r>
  <r>
    <x v="63"/>
    <s v="KSh 1,220"/>
    <x v="60"/>
    <s v="KSh 1,555"/>
    <n v="1555"/>
    <n v="335"/>
    <x v="62"/>
    <s v="Medium Discount"/>
    <x v="0"/>
    <n v="-16"/>
    <x v="22"/>
    <s v="2.9 out of 5"/>
    <x v="18"/>
    <m/>
    <x v="3"/>
  </r>
  <r>
    <x v="64"/>
    <s v="KSh 990"/>
    <x v="11"/>
    <s v="KSh 1,814"/>
    <n v="1814"/>
    <n v="824"/>
    <x v="63"/>
    <s v="High Discount"/>
    <x v="1"/>
    <n v="-6"/>
    <x v="9"/>
    <s v="2.2 out of 5"/>
    <x v="19"/>
    <m/>
    <x v="3"/>
  </r>
  <r>
    <x v="65"/>
    <s v="KSh 1,000"/>
    <x v="61"/>
    <s v="KSh 2,000"/>
    <n v="2000"/>
    <n v="1000"/>
    <x v="40"/>
    <s v="High Discount"/>
    <x v="1"/>
    <n v="-7"/>
    <x v="3"/>
    <s v="2.3 out of 5"/>
    <x v="20"/>
    <m/>
    <x v="3"/>
  </r>
  <r>
    <x v="66"/>
    <s v="KSh 3,750"/>
    <x v="62"/>
    <s v="KSh 6,143"/>
    <n v="6143"/>
    <n v="2393"/>
    <x v="64"/>
    <s v="Medium Discount"/>
    <x v="0"/>
    <n v="-5"/>
    <x v="4"/>
    <s v="3 out of 5"/>
    <x v="14"/>
    <m/>
    <x v="1"/>
  </r>
  <r>
    <x v="67"/>
    <s v="KSh 382"/>
    <x v="63"/>
    <s v="KSh 700"/>
    <n v="700"/>
    <n v="318"/>
    <x v="65"/>
    <s v="High Discount"/>
    <x v="1"/>
    <n v="-17"/>
    <x v="23"/>
    <s v="2.6 out of 5"/>
    <x v="21"/>
    <m/>
    <x v="3"/>
  </r>
  <r>
    <x v="68"/>
    <s v="KSh 2,300"/>
    <x v="64"/>
    <s v="KSh 3,240"/>
    <n v="3240"/>
    <n v="940"/>
    <x v="66"/>
    <s v="Medium Discount"/>
    <x v="0"/>
    <n v="-5"/>
    <x v="4"/>
    <s v="3 out of 5"/>
    <x v="14"/>
    <m/>
    <x v="1"/>
  </r>
  <r>
    <x v="69"/>
    <s v="KSh 345"/>
    <x v="65"/>
    <s v="KSh 602"/>
    <n v="602"/>
    <n v="257"/>
    <x v="67"/>
    <s v="High Discount"/>
    <x v="1"/>
    <n v="-6"/>
    <x v="9"/>
    <s v="2.3 out of 5"/>
    <x v="20"/>
    <m/>
    <x v="3"/>
  </r>
  <r>
    <x v="70"/>
    <s v="KSh 509"/>
    <x v="66"/>
    <s v="KSh 899"/>
    <n v="899"/>
    <n v="390"/>
    <x v="68"/>
    <s v="High Discount"/>
    <x v="1"/>
    <n v="-5"/>
    <x v="4"/>
    <s v="3 out of 5"/>
    <x v="14"/>
    <m/>
    <x v="1"/>
  </r>
  <r>
    <x v="71"/>
    <s v="KSh 968"/>
    <x v="67"/>
    <s v="KSh 1,814"/>
    <n v="1814"/>
    <n v="846"/>
    <x v="69"/>
    <s v="High Discount"/>
    <x v="1"/>
    <n v="-6"/>
    <x v="9"/>
    <s v="2.2 out of 5"/>
    <x v="19"/>
    <m/>
    <x v="3"/>
  </r>
  <r>
    <x v="72"/>
    <s v="KSh 1,570"/>
    <x v="68"/>
    <s v="KSh 2,988"/>
    <n v="2988"/>
    <n v="1418"/>
    <x v="70"/>
    <s v="High Discount"/>
    <x v="1"/>
    <n v="-7"/>
    <x v="3"/>
    <s v="2.1 out of 5"/>
    <x v="15"/>
    <m/>
    <x v="3"/>
  </r>
  <r>
    <x v="73"/>
    <s v="KSh 790"/>
    <x v="69"/>
    <s v="KSh 1,485"/>
    <n v="1485"/>
    <n v="695"/>
    <x v="71"/>
    <s v="High Discount"/>
    <x v="1"/>
    <s v="Not Provided"/>
    <x v="14"/>
    <s v="Not Provided"/>
    <x v="10"/>
    <m/>
    <x v="2"/>
  </r>
  <r>
    <x v="74"/>
    <s v="KSh 690"/>
    <x v="70"/>
    <s v="KSh 1,200"/>
    <n v="1200"/>
    <n v="510"/>
    <x v="72"/>
    <s v="High Discount"/>
    <x v="1"/>
    <s v="Not Provided"/>
    <x v="14"/>
    <s v="Not Provided"/>
    <x v="10"/>
    <m/>
    <x v="2"/>
  </r>
  <r>
    <x v="75"/>
    <s v="KSh 1,732"/>
    <x v="71"/>
    <s v="KSh 1,799"/>
    <n v="1799"/>
    <n v="67"/>
    <x v="73"/>
    <s v="Low Discount"/>
    <x v="2"/>
    <s v="Not Provided"/>
    <x v="14"/>
    <s v="Not Provided"/>
    <x v="10"/>
    <m/>
    <x v="2"/>
  </r>
  <r>
    <x v="76"/>
    <s v="KSh 230"/>
    <x v="72"/>
    <s v="KSh 450"/>
    <n v="450"/>
    <n v="220"/>
    <x v="74"/>
    <s v="High Discount"/>
    <x v="1"/>
    <s v="Not Provided"/>
    <x v="14"/>
    <s v="Not Provided"/>
    <x v="10"/>
    <m/>
    <x v="2"/>
  </r>
  <r>
    <x v="77"/>
    <s v="KSh 1,189"/>
    <x v="73"/>
    <s v="KSh 2,199"/>
    <n v="2199"/>
    <n v="1010"/>
    <x v="75"/>
    <s v="High Discount"/>
    <x v="1"/>
    <n v="-1"/>
    <x v="18"/>
    <s v="3 out of 5"/>
    <x v="14"/>
    <m/>
    <x v="1"/>
  </r>
  <r>
    <x v="78"/>
    <s v="KSh 979"/>
    <x v="74"/>
    <s v="KSh 1,920"/>
    <n v="1920"/>
    <n v="941"/>
    <x v="76"/>
    <s v="High Discount"/>
    <x v="1"/>
    <n v="-1"/>
    <x v="18"/>
    <s v="5 out of 5"/>
    <x v="8"/>
    <m/>
    <x v="0"/>
  </r>
  <r>
    <x v="79"/>
    <s v="KSh 1,460"/>
    <x v="75"/>
    <s v="KSh 2,290"/>
    <n v="2290"/>
    <n v="830"/>
    <x v="77"/>
    <s v="Medium Discount"/>
    <x v="0"/>
    <s v="Not Provided"/>
    <x v="14"/>
    <s v="Not Provided"/>
    <x v="10"/>
    <m/>
    <x v="2"/>
  </r>
  <r>
    <x v="80"/>
    <s v="KSh 1,666"/>
    <x v="76"/>
    <s v="KSh 1,699"/>
    <n v="1699"/>
    <n v="33"/>
    <x v="78"/>
    <s v="Low Discount"/>
    <x v="2"/>
    <s v="Not Provided"/>
    <x v="14"/>
    <s v="Not Provided"/>
    <x v="10"/>
    <m/>
    <x v="2"/>
  </r>
  <r>
    <x v="81"/>
    <s v="KSh 330"/>
    <x v="77"/>
    <s v="KSh 647"/>
    <n v="647"/>
    <n v="317"/>
    <x v="79"/>
    <s v="High Discount"/>
    <x v="1"/>
    <n v="-1"/>
    <x v="18"/>
    <s v="4 out of 5"/>
    <x v="5"/>
    <m/>
    <x v="1"/>
  </r>
  <r>
    <x v="48"/>
    <s v="KSh 176"/>
    <x v="78"/>
    <s v="KSh 345"/>
    <n v="345"/>
    <n v="169"/>
    <x v="80"/>
    <s v="High Discount"/>
    <x v="1"/>
    <s v="Not Provided"/>
    <x v="14"/>
    <s v="Not Provided"/>
    <x v="10"/>
    <m/>
    <x v="2"/>
  </r>
  <r>
    <x v="82"/>
    <s v="KSh 1,466"/>
    <x v="79"/>
    <s v="KSh 1,699"/>
    <n v="1699"/>
    <n v="233"/>
    <x v="81"/>
    <s v="Low Discount"/>
    <x v="2"/>
    <s v="Not Provided"/>
    <x v="14"/>
    <s v="Not Provided"/>
    <x v="10"/>
    <m/>
    <x v="2"/>
  </r>
  <r>
    <x v="83"/>
    <s v="KSh 274"/>
    <x v="80"/>
    <s v="KSh 537"/>
    <n v="537"/>
    <n v="263"/>
    <x v="82"/>
    <s v="High Discount"/>
    <x v="1"/>
    <s v="Not Provided"/>
    <x v="14"/>
    <s v="Not Provided"/>
    <x v="10"/>
    <m/>
    <x v="2"/>
  </r>
  <r>
    <x v="84"/>
    <s v="KSh 799"/>
    <x v="10"/>
    <s v="KSh 900"/>
    <n v="900"/>
    <n v="101"/>
    <x v="83"/>
    <s v="Low Discount"/>
    <x v="2"/>
    <s v="Not Provided"/>
    <x v="14"/>
    <s v="Not Provided"/>
    <x v="10"/>
    <m/>
    <x v="2"/>
  </r>
  <r>
    <x v="56"/>
    <s v="KSh 657"/>
    <x v="81"/>
    <s v="KSh 1,288"/>
    <n v="1288"/>
    <n v="631"/>
    <x v="84"/>
    <s v="High Discount"/>
    <x v="1"/>
    <s v="Not Provided"/>
    <x v="14"/>
    <s v="Not Provided"/>
    <x v="10"/>
    <m/>
    <x v="2"/>
  </r>
  <r>
    <x v="85"/>
    <s v="KSh 1,468"/>
    <x v="82"/>
    <s v="KSh 1,699"/>
    <n v="1699"/>
    <n v="231"/>
    <x v="85"/>
    <s v="Low Discount"/>
    <x v="2"/>
    <s v="Not Provided"/>
    <x v="14"/>
    <s v="Not Provided"/>
    <x v="10"/>
    <m/>
    <x v="2"/>
  </r>
  <r>
    <x v="86"/>
    <s v="KSh 630"/>
    <x v="83"/>
    <s v="KSh 1,100"/>
    <n v="1100"/>
    <n v="470"/>
    <x v="86"/>
    <s v="High Discount"/>
    <x v="1"/>
    <s v="Not Provided"/>
    <x v="14"/>
    <s v="Not Provided"/>
    <x v="10"/>
    <m/>
    <x v="2"/>
  </r>
  <r>
    <x v="87"/>
    <s v="KSh 850"/>
    <x v="84"/>
    <s v="KSh 1,700"/>
    <n v="1700"/>
    <n v="850"/>
    <x v="40"/>
    <s v="High Discount"/>
    <x v="1"/>
    <s v="Not Provided"/>
    <x v="14"/>
    <s v="Not Provided"/>
    <x v="10"/>
    <m/>
    <x v="2"/>
  </r>
  <r>
    <x v="88"/>
    <s v="KSh 1,300"/>
    <x v="85"/>
    <s v="KSh 2,500"/>
    <n v="2500"/>
    <n v="1200"/>
    <x v="87"/>
    <s v="High Discount"/>
    <x v="1"/>
    <s v="Not Provided"/>
    <x v="14"/>
    <s v="Not Provided"/>
    <x v="10"/>
    <m/>
    <x v="2"/>
  </r>
  <r>
    <x v="89"/>
    <s v="KSh 105"/>
    <x v="86"/>
    <s v="KSh 200"/>
    <n v="200"/>
    <n v="95"/>
    <x v="88"/>
    <s v="High Discount"/>
    <x v="1"/>
    <s v="Not Provided"/>
    <x v="14"/>
    <s v="Not Provided"/>
    <x v="10"/>
    <m/>
    <x v="2"/>
  </r>
  <r>
    <x v="90"/>
    <s v="KSh 899"/>
    <x v="87"/>
    <s v="KSh 1,699"/>
    <n v="1699"/>
    <n v="800"/>
    <x v="89"/>
    <s v="High Discount"/>
    <x v="1"/>
    <s v="Not Provided"/>
    <x v="14"/>
    <s v="Not Provided"/>
    <x v="10"/>
    <m/>
    <x v="2"/>
  </r>
  <r>
    <x v="91"/>
    <s v="KSh 1,200"/>
    <x v="46"/>
    <s v="KSh 2,400"/>
    <n v="2400"/>
    <n v="1200"/>
    <x v="40"/>
    <s v="High Discount"/>
    <x v="1"/>
    <s v="Not Provided"/>
    <x v="14"/>
    <s v="Not Provided"/>
    <x v="10"/>
    <m/>
    <x v="2"/>
  </r>
  <r>
    <x v="92"/>
    <s v="KSh 1,526"/>
    <x v="88"/>
    <s v="KSh 1,660"/>
    <n v="1660"/>
    <n v="134"/>
    <x v="90"/>
    <s v="Low Discount"/>
    <x v="2"/>
    <s v="Not Provided"/>
    <x v="14"/>
    <s v="Not Provided"/>
    <x v="10"/>
    <m/>
    <x v="2"/>
  </r>
  <r>
    <x v="93"/>
    <s v="KSh 1,462"/>
    <x v="89"/>
    <s v="KSh 1,499"/>
    <n v="1499"/>
    <n v="37"/>
    <x v="91"/>
    <s v="Low Discount"/>
    <x v="2"/>
    <s v="Not Provided"/>
    <x v="14"/>
    <s v="Not Provided"/>
    <x v="10"/>
    <m/>
    <x v="2"/>
  </r>
  <r>
    <x v="94"/>
    <s v="KSh 248"/>
    <x v="90"/>
    <s v="KSh 486"/>
    <n v="486"/>
    <n v="238"/>
    <x v="92"/>
    <s v="High Discount"/>
    <x v="1"/>
    <s v="Not Provided"/>
    <x v="14"/>
    <s v="Not Provided"/>
    <x v="10"/>
    <m/>
    <x v="2"/>
  </r>
  <r>
    <x v="95"/>
    <s v="KSh 3,546"/>
    <x v="91"/>
    <s v="KSh 3,699"/>
    <n v="3699"/>
    <n v="153"/>
    <x v="93"/>
    <s v="Low Discount"/>
    <x v="2"/>
    <s v="Not Provided"/>
    <x v="14"/>
    <s v="Not Provided"/>
    <x v="10"/>
    <m/>
    <x v="2"/>
  </r>
  <r>
    <x v="96"/>
    <s v="KSh 525"/>
    <x v="92"/>
    <s v="KSh 1,029"/>
    <n v="1029"/>
    <n v="504"/>
    <x v="39"/>
    <s v="High Discount"/>
    <x v="1"/>
    <s v="Not Provided"/>
    <x v="14"/>
    <s v="Not Provided"/>
    <x v="10"/>
    <m/>
    <x v="2"/>
  </r>
  <r>
    <x v="97"/>
    <s v="KSh 1,080"/>
    <x v="93"/>
    <s v="KSh 1,874"/>
    <n v="1874"/>
    <n v="794"/>
    <x v="94"/>
    <s v="High Discount"/>
    <x v="1"/>
    <s v="Not Provided"/>
    <x v="14"/>
    <s v="Not Provided"/>
    <x v="10"/>
    <m/>
    <x v="2"/>
  </r>
  <r>
    <x v="98"/>
    <s v="KSh 3,640"/>
    <x v="94"/>
    <s v="KSh 4,588"/>
    <n v="4588"/>
    <n v="948"/>
    <x v="95"/>
    <s v="Medium Discount"/>
    <x v="0"/>
    <n v="-1"/>
    <x v="18"/>
    <s v="5 out of 5"/>
    <x v="8"/>
    <m/>
    <x v="0"/>
  </r>
  <r>
    <x v="99"/>
    <s v="KSh 1,420"/>
    <x v="95"/>
    <s v="KSh 2,420"/>
    <n v="2420"/>
    <n v="1000"/>
    <x v="96"/>
    <s v="High Discount"/>
    <x v="1"/>
    <s v="Not Provided"/>
    <x v="14"/>
    <s v="Not Provided"/>
    <x v="10"/>
    <m/>
    <x v="2"/>
  </r>
  <r>
    <x v="100"/>
    <s v="KSh 1,875"/>
    <x v="96"/>
    <s v="KSh 1,899"/>
    <n v="1899"/>
    <n v="24"/>
    <x v="97"/>
    <s v="Low Discount"/>
    <x v="2"/>
    <s v="Not Provided"/>
    <x v="14"/>
    <s v="Not Provided"/>
    <x v="10"/>
    <m/>
    <x v="2"/>
  </r>
  <r>
    <x v="101"/>
    <s v="KSh 198"/>
    <x v="97"/>
    <s v="KSh 260"/>
    <n v="260"/>
    <n v="62"/>
    <x v="98"/>
    <s v="Medium Discount"/>
    <x v="0"/>
    <s v="Not Provided"/>
    <x v="14"/>
    <s v="Not Provided"/>
    <x v="10"/>
    <m/>
    <x v="2"/>
  </r>
  <r>
    <x v="102"/>
    <s v="KSh 1,150"/>
    <x v="98"/>
    <s v="KSh 1,737"/>
    <n v="1737"/>
    <n v="587"/>
    <x v="99"/>
    <s v="Medium Discount"/>
    <x v="0"/>
    <s v="Not Provided"/>
    <x v="14"/>
    <s v="Not Provided"/>
    <x v="10"/>
    <m/>
    <x v="2"/>
  </r>
  <r>
    <x v="103"/>
    <s v="KSh 1,190"/>
    <x v="44"/>
    <s v="KSh 1,810"/>
    <n v="1810"/>
    <n v="620"/>
    <x v="100"/>
    <s v="Medium Discount"/>
    <x v="0"/>
    <s v="Not Provided"/>
    <x v="14"/>
    <s v="Not Provided"/>
    <x v="10"/>
    <m/>
    <x v="2"/>
  </r>
  <r>
    <x v="104"/>
    <s v="KSh 1,658"/>
    <x v="99"/>
    <s v="KSh 1,699"/>
    <n v="1699"/>
    <n v="41"/>
    <x v="101"/>
    <s v="Low Discount"/>
    <x v="2"/>
    <s v="Not Provided"/>
    <x v="14"/>
    <s v="Not Provided"/>
    <x v="10"/>
    <m/>
    <x v="2"/>
  </r>
  <r>
    <x v="105"/>
    <s v="KSh 1,768"/>
    <x v="100"/>
    <s v="KSh 1,799"/>
    <n v="1799"/>
    <n v="31"/>
    <x v="102"/>
    <s v="Low Discount"/>
    <x v="2"/>
    <s v="Not Provided"/>
    <x v="14"/>
    <s v="Not Provided"/>
    <x v="10"/>
    <m/>
    <x v="2"/>
  </r>
  <r>
    <x v="106"/>
    <s v="KSh 199"/>
    <x v="47"/>
    <s v="KSh 553"/>
    <n v="553"/>
    <n v="354"/>
    <x v="103"/>
    <s v="High Discount"/>
    <x v="1"/>
    <s v="Not Provided"/>
    <x v="14"/>
    <s v="Not Provided"/>
    <x v="10"/>
    <m/>
    <x v="2"/>
  </r>
  <r>
    <x v="107"/>
    <s v="KSh 450"/>
    <x v="101"/>
    <s v="KSh 900"/>
    <n v="900"/>
    <n v="450"/>
    <x v="40"/>
    <s v="High Discount"/>
    <x v="1"/>
    <n v="-1"/>
    <x v="18"/>
    <s v="2 out of 5"/>
    <x v="22"/>
    <m/>
    <x v="3"/>
  </r>
  <r>
    <x v="108"/>
    <s v="KSh 169"/>
    <x v="102"/>
    <s v="KSh 320"/>
    <n v="320"/>
    <n v="151"/>
    <x v="104"/>
    <s v="High Discount"/>
    <x v="1"/>
    <s v="Not Provided"/>
    <x v="14"/>
    <s v="Not Provided"/>
    <x v="10"/>
    <m/>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C3C7E81-4BAD-4E97-B589-30A424232476}"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3:E66" firstHeaderRow="1" firstDataRow="1" firstDataCol="1"/>
  <pivotFields count="15">
    <pivotField axis="axisRow" showAll="0" measureFilter="1" sortType="ascending">
      <items count="110">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t="default"/>
      </items>
      <autoSortScope>
        <pivotArea dataOnly="0" outline="0" fieldPosition="0">
          <references count="1">
            <reference field="4294967294" count="1" selected="0">
              <x v="0"/>
            </reference>
          </references>
        </pivotArea>
      </autoSortScope>
    </pivotField>
    <pivotField showAll="0"/>
    <pivotField numFmtId="164" showAll="0"/>
    <pivotField showAll="0"/>
    <pivotField numFmtId="164" showAll="0"/>
    <pivotField numFmtId="164" showAll="0"/>
    <pivotField numFmtId="10" showAll="0">
      <items count="106">
        <item x="97"/>
        <item x="42"/>
        <item x="102"/>
        <item x="78"/>
        <item x="48"/>
        <item x="101"/>
        <item x="91"/>
        <item x="50"/>
        <item x="73"/>
        <item x="93"/>
        <item x="90"/>
        <item x="5"/>
        <item x="83"/>
        <item x="57"/>
        <item x="85"/>
        <item x="81"/>
        <item x="26"/>
        <item x="18"/>
        <item x="10"/>
        <item x="95"/>
        <item x="62"/>
        <item x="49"/>
        <item x="23"/>
        <item x="6"/>
        <item x="98"/>
        <item x="2"/>
        <item x="4"/>
        <item x="55"/>
        <item x="34"/>
        <item x="33"/>
        <item x="66"/>
        <item x="28"/>
        <item x="27"/>
        <item x="14"/>
        <item x="37"/>
        <item x="99"/>
        <item x="11"/>
        <item x="31"/>
        <item x="100"/>
        <item x="22"/>
        <item x="25"/>
        <item x="77"/>
        <item x="3"/>
        <item x="7"/>
        <item x="0"/>
        <item x="45"/>
        <item x="38"/>
        <item x="64"/>
        <item x="35"/>
        <item x="51"/>
        <item x="36"/>
        <item x="96"/>
        <item x="13"/>
        <item x="21"/>
        <item x="94"/>
        <item x="41"/>
        <item x="72"/>
        <item x="67"/>
        <item x="86"/>
        <item x="68"/>
        <item x="52"/>
        <item x="9"/>
        <item x="63"/>
        <item x="65"/>
        <item x="16"/>
        <item x="75"/>
        <item x="29"/>
        <item x="69"/>
        <item x="12"/>
        <item x="71"/>
        <item x="89"/>
        <item x="104"/>
        <item x="1"/>
        <item x="70"/>
        <item x="88"/>
        <item x="32"/>
        <item x="53"/>
        <item x="87"/>
        <item x="74"/>
        <item x="92"/>
        <item x="82"/>
        <item x="39"/>
        <item x="80"/>
        <item x="84"/>
        <item x="79"/>
        <item x="17"/>
        <item x="76"/>
        <item x="54"/>
        <item x="44"/>
        <item x="60"/>
        <item x="19"/>
        <item x="40"/>
        <item x="43"/>
        <item x="47"/>
        <item x="15"/>
        <item x="30"/>
        <item x="61"/>
        <item x="20"/>
        <item x="58"/>
        <item x="24"/>
        <item x="8"/>
        <item x="59"/>
        <item x="56"/>
        <item x="46"/>
        <item x="103"/>
        <item t="default"/>
      </items>
    </pivotField>
    <pivotField showAll="0"/>
    <pivotField showAll="0">
      <items count="4">
        <item x="1"/>
        <item x="2"/>
        <item x="0"/>
        <item t="default"/>
      </items>
    </pivotField>
    <pivotField showAll="0"/>
    <pivotField showAll="0"/>
    <pivotField showAll="0"/>
    <pivotField dataField="1" showAll="0">
      <items count="24">
        <item x="22"/>
        <item x="15"/>
        <item x="19"/>
        <item x="20"/>
        <item x="13"/>
        <item x="21"/>
        <item x="17"/>
        <item x="16"/>
        <item x="18"/>
        <item x="14"/>
        <item x="9"/>
        <item x="6"/>
        <item x="5"/>
        <item x="1"/>
        <item x="7"/>
        <item x="12"/>
        <item x="11"/>
        <item x="0"/>
        <item x="2"/>
        <item x="3"/>
        <item x="4"/>
        <item x="8"/>
        <item x="10"/>
        <item t="default"/>
      </items>
    </pivotField>
    <pivotField showAll="0"/>
    <pivotField showAll="0">
      <items count="5">
        <item x="1"/>
        <item x="0"/>
        <item x="2"/>
        <item x="3"/>
        <item t="default"/>
      </items>
    </pivotField>
  </pivotFields>
  <rowFields count="1">
    <field x="0"/>
  </rowFields>
  <rowItems count="53">
    <i>
      <x v="49"/>
    </i>
    <i>
      <x v="50"/>
    </i>
    <i>
      <x v="9"/>
    </i>
    <i>
      <x v="51"/>
    </i>
    <i>
      <x v="12"/>
    </i>
    <i>
      <x v="53"/>
    </i>
    <i>
      <x v="14"/>
    </i>
    <i>
      <x v="54"/>
    </i>
    <i>
      <x v="19"/>
    </i>
    <i>
      <x v="55"/>
    </i>
    <i>
      <x v="23"/>
    </i>
    <i>
      <x v="71"/>
    </i>
    <i>
      <x v="29"/>
    </i>
    <i>
      <x v="74"/>
    </i>
    <i>
      <x v="32"/>
    </i>
    <i>
      <x v="78"/>
    </i>
    <i>
      <x v="34"/>
    </i>
    <i>
      <x v="79"/>
    </i>
    <i>
      <x v="37"/>
    </i>
    <i>
      <x v="81"/>
    </i>
    <i>
      <x v="42"/>
    </i>
    <i>
      <x v="82"/>
    </i>
    <i>
      <x v="45"/>
    </i>
    <i>
      <x v="83"/>
    </i>
    <i>
      <x v="47"/>
    </i>
    <i>
      <x v="85"/>
    </i>
    <i>
      <x v="6"/>
    </i>
    <i>
      <x v="86"/>
    </i>
    <i>
      <x v="13"/>
    </i>
    <i>
      <x v="88"/>
    </i>
    <i>
      <x v="21"/>
    </i>
    <i>
      <x v="89"/>
    </i>
    <i>
      <x v="31"/>
    </i>
    <i>
      <x v="92"/>
    </i>
    <i>
      <x v="36"/>
    </i>
    <i>
      <x v="94"/>
    </i>
    <i>
      <x v="43"/>
    </i>
    <i>
      <x v="96"/>
    </i>
    <i>
      <x v="48"/>
    </i>
    <i>
      <x v="97"/>
    </i>
    <i>
      <x v="15"/>
    </i>
    <i>
      <x v="98"/>
    </i>
    <i>
      <x v="33"/>
    </i>
    <i>
      <x v="99"/>
    </i>
    <i>
      <x v="46"/>
    </i>
    <i>
      <x v="100"/>
    </i>
    <i>
      <x v="24"/>
    </i>
    <i>
      <x v="102"/>
    </i>
    <i>
      <x v="10"/>
    </i>
    <i>
      <x v="103"/>
    </i>
    <i>
      <x v="39"/>
    </i>
    <i>
      <x v="105"/>
    </i>
    <i t="grand">
      <x/>
    </i>
  </rowItems>
  <colItems count="1">
    <i/>
  </colItems>
  <dataFields count="1">
    <dataField name="Sum of Rating" fld="12" baseField="0" baseItem="0"/>
  </dataFields>
  <pivotTableStyleInfo name="PivotStyleLight16" showRowHeaders="1" showColHeaders="1" showRowStripes="0" showColStripes="0" showLastColumn="1"/>
  <filters count="1">
    <filter fld="0" type="count" evalOrder="-1" id="2"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AFF763B-F140-413D-B57E-D54015E18CCC}"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D3:E11" firstHeaderRow="1" firstDataRow="1" firstDataCol="1"/>
  <pivotFields count="15">
    <pivotField axis="axisRow" showAll="0" measureFilter="1" sortType="descending">
      <items count="110">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t="default"/>
      </items>
      <autoSortScope>
        <pivotArea dataOnly="0" outline="0" fieldPosition="0">
          <references count="1">
            <reference field="4294967294" count="1" selected="0">
              <x v="0"/>
            </reference>
          </references>
        </pivotArea>
      </autoSortScope>
    </pivotField>
    <pivotField showAll="0"/>
    <pivotField numFmtId="164" showAll="0">
      <items count="104">
        <item x="19"/>
        <item x="86"/>
        <item x="102"/>
        <item x="35"/>
        <item x="78"/>
        <item x="29"/>
        <item x="16"/>
        <item x="97"/>
        <item x="47"/>
        <item x="72"/>
        <item x="40"/>
        <item x="90"/>
        <item x="80"/>
        <item x="48"/>
        <item x="59"/>
        <item x="77"/>
        <item x="15"/>
        <item x="65"/>
        <item x="63"/>
        <item x="36"/>
        <item x="54"/>
        <item x="24"/>
        <item x="58"/>
        <item x="101"/>
        <item x="56"/>
        <item x="39"/>
        <item x="51"/>
        <item x="13"/>
        <item x="66"/>
        <item x="92"/>
        <item x="1"/>
        <item x="12"/>
        <item x="41"/>
        <item x="83"/>
        <item x="81"/>
        <item x="45"/>
        <item x="70"/>
        <item x="52"/>
        <item x="69"/>
        <item x="10"/>
        <item x="84"/>
        <item x="21"/>
        <item x="87"/>
        <item x="0"/>
        <item x="67"/>
        <item x="74"/>
        <item x="30"/>
        <item x="7"/>
        <item x="11"/>
        <item x="18"/>
        <item x="43"/>
        <item x="61"/>
        <item x="93"/>
        <item x="98"/>
        <item x="73"/>
        <item x="44"/>
        <item x="46"/>
        <item x="60"/>
        <item x="8"/>
        <item x="85"/>
        <item x="26"/>
        <item x="95"/>
        <item x="50"/>
        <item x="75"/>
        <item x="89"/>
        <item x="79"/>
        <item x="82"/>
        <item x="88"/>
        <item x="68"/>
        <item x="3"/>
        <item x="9"/>
        <item x="34"/>
        <item x="22"/>
        <item x="99"/>
        <item x="49"/>
        <item x="76"/>
        <item x="14"/>
        <item x="71"/>
        <item x="4"/>
        <item x="27"/>
        <item x="100"/>
        <item x="37"/>
        <item x="31"/>
        <item x="20"/>
        <item x="96"/>
        <item x="32"/>
        <item x="33"/>
        <item x="17"/>
        <item x="23"/>
        <item x="57"/>
        <item x="42"/>
        <item x="55"/>
        <item x="2"/>
        <item x="28"/>
        <item x="64"/>
        <item x="6"/>
        <item x="38"/>
        <item x="53"/>
        <item x="25"/>
        <item x="5"/>
        <item x="91"/>
        <item x="94"/>
        <item x="62"/>
        <item t="default"/>
      </items>
    </pivotField>
    <pivotField showAll="0"/>
    <pivotField numFmtId="164" showAll="0"/>
    <pivotField numFmtId="164" showAll="0"/>
    <pivotField numFmtId="10" showAll="0">
      <items count="106">
        <item x="97"/>
        <item x="42"/>
        <item x="102"/>
        <item x="78"/>
        <item x="48"/>
        <item x="101"/>
        <item x="91"/>
        <item x="50"/>
        <item x="73"/>
        <item x="93"/>
        <item x="90"/>
        <item x="5"/>
        <item x="83"/>
        <item x="57"/>
        <item x="85"/>
        <item x="81"/>
        <item x="26"/>
        <item x="18"/>
        <item x="10"/>
        <item x="95"/>
        <item x="62"/>
        <item x="49"/>
        <item x="23"/>
        <item x="6"/>
        <item x="98"/>
        <item x="2"/>
        <item x="4"/>
        <item x="55"/>
        <item x="34"/>
        <item x="33"/>
        <item x="66"/>
        <item x="28"/>
        <item x="27"/>
        <item x="14"/>
        <item x="37"/>
        <item x="99"/>
        <item x="11"/>
        <item x="31"/>
        <item x="100"/>
        <item x="22"/>
        <item x="25"/>
        <item x="77"/>
        <item x="3"/>
        <item x="7"/>
        <item x="0"/>
        <item x="45"/>
        <item x="38"/>
        <item x="64"/>
        <item x="35"/>
        <item x="51"/>
        <item x="36"/>
        <item x="96"/>
        <item x="13"/>
        <item x="21"/>
        <item x="94"/>
        <item x="41"/>
        <item x="72"/>
        <item x="67"/>
        <item x="86"/>
        <item x="68"/>
        <item x="52"/>
        <item x="9"/>
        <item x="63"/>
        <item x="65"/>
        <item x="16"/>
        <item x="75"/>
        <item x="29"/>
        <item x="69"/>
        <item x="12"/>
        <item x="71"/>
        <item x="89"/>
        <item x="104"/>
        <item x="1"/>
        <item x="70"/>
        <item x="88"/>
        <item x="32"/>
        <item x="53"/>
        <item x="87"/>
        <item x="74"/>
        <item x="92"/>
        <item x="82"/>
        <item x="39"/>
        <item x="80"/>
        <item x="84"/>
        <item x="79"/>
        <item x="17"/>
        <item x="76"/>
        <item x="54"/>
        <item x="44"/>
        <item x="60"/>
        <item x="19"/>
        <item x="40"/>
        <item x="43"/>
        <item x="47"/>
        <item x="15"/>
        <item x="30"/>
        <item x="61"/>
        <item x="20"/>
        <item x="58"/>
        <item x="24"/>
        <item x="8"/>
        <item x="59"/>
        <item x="56"/>
        <item x="46"/>
        <item x="103"/>
        <item t="default"/>
      </items>
    </pivotField>
    <pivotField showAll="0"/>
    <pivotField showAll="0">
      <items count="4">
        <item x="1"/>
        <item x="2"/>
        <item x="0"/>
        <item t="default"/>
      </items>
    </pivotField>
    <pivotField showAll="0"/>
    <pivotField showAll="0"/>
    <pivotField showAll="0"/>
    <pivotField dataField="1" showAll="0">
      <items count="24">
        <item x="22"/>
        <item x="15"/>
        <item x="19"/>
        <item x="20"/>
        <item x="13"/>
        <item x="21"/>
        <item x="17"/>
        <item x="16"/>
        <item x="18"/>
        <item x="14"/>
        <item x="9"/>
        <item x="6"/>
        <item x="5"/>
        <item x="1"/>
        <item x="7"/>
        <item x="12"/>
        <item x="11"/>
        <item x="0"/>
        <item x="2"/>
        <item x="3"/>
        <item x="4"/>
        <item x="8"/>
        <item x="10"/>
        <item t="default"/>
      </items>
    </pivotField>
    <pivotField showAll="0"/>
    <pivotField showAll="0">
      <items count="5">
        <item x="1"/>
        <item x="0"/>
        <item x="2"/>
        <item x="3"/>
        <item t="default"/>
      </items>
    </pivotField>
  </pivotFields>
  <rowFields count="1">
    <field x="0"/>
  </rowFields>
  <rowItems count="8">
    <i>
      <x v="40"/>
    </i>
    <i>
      <x v="68"/>
    </i>
    <i>
      <x v="65"/>
    </i>
    <i>
      <x v="44"/>
    </i>
    <i>
      <x v="87"/>
    </i>
    <i>
      <x v="52"/>
    </i>
    <i>
      <x v="57"/>
    </i>
    <i t="grand">
      <x/>
    </i>
  </rowItems>
  <colItems count="1">
    <i/>
  </colItems>
  <dataFields count="1">
    <dataField name="Sum of Rating" fld="12"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08FDF12-1090-490B-BDB4-51BA22B084E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13" firstHeaderRow="1" firstDataRow="1" firstDataCol="1"/>
  <pivotFields count="15">
    <pivotField axis="axisRow" showAll="0" sortType="ascending">
      <items count="110">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t="default"/>
      </items>
      <autoSortScope>
        <pivotArea dataOnly="0" outline="0" fieldPosition="0">
          <references count="1">
            <reference field="4294967294" count="1" selected="0">
              <x v="0"/>
            </reference>
          </references>
        </pivotArea>
      </autoSortScope>
    </pivotField>
    <pivotField showAll="0"/>
    <pivotField numFmtId="164" showAll="0">
      <items count="104">
        <item x="19"/>
        <item x="86"/>
        <item x="102"/>
        <item x="35"/>
        <item x="78"/>
        <item x="29"/>
        <item x="16"/>
        <item x="97"/>
        <item x="47"/>
        <item x="72"/>
        <item x="40"/>
        <item x="90"/>
        <item x="80"/>
        <item x="48"/>
        <item x="59"/>
        <item x="77"/>
        <item x="15"/>
        <item x="65"/>
        <item x="63"/>
        <item x="36"/>
        <item x="54"/>
        <item x="24"/>
        <item x="58"/>
        <item x="101"/>
        <item x="56"/>
        <item x="39"/>
        <item x="51"/>
        <item x="13"/>
        <item x="66"/>
        <item x="92"/>
        <item x="1"/>
        <item x="12"/>
        <item x="41"/>
        <item x="83"/>
        <item x="81"/>
        <item x="45"/>
        <item x="70"/>
        <item x="52"/>
        <item x="69"/>
        <item x="10"/>
        <item x="84"/>
        <item x="21"/>
        <item x="87"/>
        <item x="0"/>
        <item x="67"/>
        <item x="74"/>
        <item x="30"/>
        <item x="7"/>
        <item x="11"/>
        <item x="18"/>
        <item x="43"/>
        <item x="61"/>
        <item x="93"/>
        <item x="98"/>
        <item x="73"/>
        <item x="44"/>
        <item x="46"/>
        <item x="60"/>
        <item x="8"/>
        <item x="85"/>
        <item x="26"/>
        <item x="95"/>
        <item x="50"/>
        <item x="75"/>
        <item x="89"/>
        <item x="79"/>
        <item x="82"/>
        <item x="88"/>
        <item x="68"/>
        <item x="3"/>
        <item x="9"/>
        <item x="34"/>
        <item x="22"/>
        <item x="99"/>
        <item x="49"/>
        <item x="76"/>
        <item x="14"/>
        <item x="71"/>
        <item x="4"/>
        <item x="27"/>
        <item x="100"/>
        <item x="37"/>
        <item x="31"/>
        <item x="20"/>
        <item x="96"/>
        <item x="32"/>
        <item x="33"/>
        <item x="17"/>
        <item x="23"/>
        <item x="57"/>
        <item x="42"/>
        <item x="55"/>
        <item x="2"/>
        <item x="28"/>
        <item x="64"/>
        <item x="6"/>
        <item x="38"/>
        <item x="53"/>
        <item x="25"/>
        <item x="5"/>
        <item x="91"/>
        <item x="94"/>
        <item x="62"/>
        <item t="default"/>
      </items>
    </pivotField>
    <pivotField showAll="0"/>
    <pivotField numFmtId="164" showAll="0"/>
    <pivotField numFmtId="164" showAll="0"/>
    <pivotField numFmtId="10" showAll="0">
      <items count="106">
        <item x="97"/>
        <item x="42"/>
        <item x="102"/>
        <item x="78"/>
        <item x="48"/>
        <item x="101"/>
        <item x="91"/>
        <item x="50"/>
        <item x="73"/>
        <item x="93"/>
        <item x="90"/>
        <item x="5"/>
        <item x="83"/>
        <item x="57"/>
        <item x="85"/>
        <item x="81"/>
        <item x="26"/>
        <item x="18"/>
        <item x="10"/>
        <item x="95"/>
        <item x="62"/>
        <item x="49"/>
        <item x="23"/>
        <item x="6"/>
        <item x="98"/>
        <item x="2"/>
        <item x="4"/>
        <item x="55"/>
        <item x="34"/>
        <item x="33"/>
        <item x="66"/>
        <item x="28"/>
        <item x="27"/>
        <item x="14"/>
        <item x="37"/>
        <item x="99"/>
        <item x="11"/>
        <item x="31"/>
        <item x="100"/>
        <item x="22"/>
        <item x="25"/>
        <item x="77"/>
        <item x="3"/>
        <item x="7"/>
        <item x="0"/>
        <item x="45"/>
        <item x="38"/>
        <item x="64"/>
        <item x="35"/>
        <item x="51"/>
        <item x="36"/>
        <item x="96"/>
        <item x="13"/>
        <item x="21"/>
        <item x="94"/>
        <item x="41"/>
        <item x="72"/>
        <item x="67"/>
        <item x="86"/>
        <item x="68"/>
        <item x="52"/>
        <item x="9"/>
        <item x="63"/>
        <item x="65"/>
        <item x="16"/>
        <item x="75"/>
        <item x="29"/>
        <item x="69"/>
        <item x="12"/>
        <item x="71"/>
        <item x="89"/>
        <item x="104"/>
        <item x="1"/>
        <item x="70"/>
        <item x="88"/>
        <item x="32"/>
        <item x="53"/>
        <item x="87"/>
        <item x="74"/>
        <item x="92"/>
        <item x="82"/>
        <item x="39"/>
        <item x="80"/>
        <item x="84"/>
        <item x="79"/>
        <item x="17"/>
        <item x="76"/>
        <item x="54"/>
        <item x="44"/>
        <item x="60"/>
        <item x="19"/>
        <item x="40"/>
        <item x="43"/>
        <item x="47"/>
        <item x="15"/>
        <item x="30"/>
        <item x="61"/>
        <item x="20"/>
        <item x="58"/>
        <item x="24"/>
        <item x="8"/>
        <item x="59"/>
        <item x="56"/>
        <item x="46"/>
        <item x="103"/>
        <item t="default"/>
      </items>
    </pivotField>
    <pivotField showAll="0"/>
    <pivotField showAll="0">
      <items count="4">
        <item x="1"/>
        <item x="2"/>
        <item x="0"/>
        <item t="default"/>
      </items>
    </pivotField>
    <pivotField showAll="0"/>
    <pivotField showAll="0"/>
    <pivotField showAll="0"/>
    <pivotField dataField="1" showAll="0">
      <items count="24">
        <item x="22"/>
        <item x="15"/>
        <item x="19"/>
        <item x="20"/>
        <item x="13"/>
        <item x="21"/>
        <item x="17"/>
        <item x="16"/>
        <item x="18"/>
        <item x="14"/>
        <item x="9"/>
        <item x="6"/>
        <item x="5"/>
        <item x="1"/>
        <item x="7"/>
        <item x="12"/>
        <item x="11"/>
        <item x="0"/>
        <item x="2"/>
        <item x="3"/>
        <item x="4"/>
        <item x="8"/>
        <item x="10"/>
        <item t="default"/>
      </items>
    </pivotField>
    <pivotField showAll="0"/>
    <pivotField showAll="0">
      <items count="5">
        <item x="1"/>
        <item x="0"/>
        <item x="2"/>
        <item x="3"/>
        <item t="default"/>
      </items>
    </pivotField>
  </pivotFields>
  <rowFields count="1">
    <field x="0"/>
  </rowFields>
  <rowItems count="110">
    <i>
      <x v="54"/>
    </i>
    <i>
      <x v="53"/>
    </i>
    <i>
      <x v="46"/>
    </i>
    <i>
      <x v="47"/>
    </i>
    <i>
      <x v="6"/>
    </i>
    <i>
      <x v="48"/>
    </i>
    <i>
      <x v="103"/>
    </i>
    <i>
      <x v="49"/>
    </i>
    <i>
      <x v="12"/>
    </i>
    <i>
      <x v="50"/>
    </i>
    <i>
      <x v="14"/>
    </i>
    <i>
      <x v="51"/>
    </i>
    <i>
      <x v="19"/>
    </i>
    <i>
      <x v="55"/>
    </i>
    <i>
      <x v="23"/>
    </i>
    <i>
      <x v="71"/>
    </i>
    <i>
      <x v="29"/>
    </i>
    <i>
      <x v="74"/>
    </i>
    <i>
      <x v="32"/>
    </i>
    <i>
      <x v="78"/>
    </i>
    <i>
      <x v="34"/>
    </i>
    <i>
      <x v="79"/>
    </i>
    <i>
      <x v="37"/>
    </i>
    <i>
      <x v="81"/>
    </i>
    <i>
      <x v="42"/>
    </i>
    <i>
      <x v="82"/>
    </i>
    <i>
      <x v="45"/>
    </i>
    <i>
      <x v="83"/>
    </i>
    <i>
      <x v="9"/>
    </i>
    <i>
      <x v="85"/>
    </i>
    <i>
      <x v="13"/>
    </i>
    <i>
      <x v="86"/>
    </i>
    <i>
      <x v="21"/>
    </i>
    <i>
      <x v="88"/>
    </i>
    <i>
      <x v="31"/>
    </i>
    <i>
      <x v="89"/>
    </i>
    <i>
      <x v="36"/>
    </i>
    <i>
      <x v="92"/>
    </i>
    <i>
      <x v="43"/>
    </i>
    <i>
      <x v="94"/>
    </i>
    <i>
      <x v="10"/>
    </i>
    <i>
      <x v="96"/>
    </i>
    <i>
      <x v="24"/>
    </i>
    <i>
      <x v="97"/>
    </i>
    <i>
      <x v="39"/>
    </i>
    <i>
      <x v="98"/>
    </i>
    <i>
      <x v="15"/>
    </i>
    <i>
      <x v="99"/>
    </i>
    <i>
      <x v="105"/>
    </i>
    <i>
      <x v="100"/>
    </i>
    <i>
      <x v="33"/>
    </i>
    <i>
      <x v="102"/>
    </i>
    <i>
      <x v="104"/>
    </i>
    <i>
      <x v="58"/>
    </i>
    <i>
      <x v="30"/>
    </i>
    <i>
      <x v="41"/>
    </i>
    <i>
      <x v="35"/>
    </i>
    <i>
      <x v="106"/>
    </i>
    <i>
      <x v="17"/>
    </i>
    <i>
      <x v="25"/>
    </i>
    <i>
      <x v="38"/>
    </i>
    <i>
      <x v="64"/>
    </i>
    <i>
      <x v="5"/>
    </i>
    <i>
      <x v="101"/>
    </i>
    <i>
      <x v="108"/>
    </i>
    <i>
      <x v="84"/>
    </i>
    <i>
      <x v="76"/>
    </i>
    <i>
      <x v="16"/>
    </i>
    <i>
      <x v="66"/>
    </i>
    <i>
      <x v="20"/>
    </i>
    <i>
      <x v="93"/>
    </i>
    <i>
      <x v="7"/>
    </i>
    <i>
      <x v="3"/>
    </i>
    <i>
      <x v="11"/>
    </i>
    <i>
      <x v="73"/>
    </i>
    <i>
      <x v="63"/>
    </i>
    <i>
      <x v="56"/>
    </i>
    <i>
      <x v="26"/>
    </i>
    <i>
      <x v="77"/>
    </i>
    <i>
      <x v="62"/>
    </i>
    <i>
      <x v="80"/>
    </i>
    <i>
      <x v="95"/>
    </i>
    <i>
      <x v="67"/>
    </i>
    <i>
      <x v="72"/>
    </i>
    <i>
      <x v="60"/>
    </i>
    <i>
      <x v="61"/>
    </i>
    <i>
      <x/>
    </i>
    <i>
      <x v="69"/>
    </i>
    <i>
      <x v="27"/>
    </i>
    <i>
      <x v="2"/>
    </i>
    <i>
      <x v="18"/>
    </i>
    <i>
      <x v="75"/>
    </i>
    <i>
      <x v="59"/>
    </i>
    <i>
      <x v="8"/>
    </i>
    <i>
      <x v="91"/>
    </i>
    <i>
      <x v="4"/>
    </i>
    <i>
      <x v="107"/>
    </i>
    <i>
      <x v="28"/>
    </i>
    <i>
      <x v="1"/>
    </i>
    <i>
      <x v="70"/>
    </i>
    <i>
      <x v="90"/>
    </i>
    <i>
      <x v="22"/>
    </i>
    <i>
      <x v="57"/>
    </i>
    <i>
      <x v="52"/>
    </i>
    <i>
      <x v="40"/>
    </i>
    <i>
      <x v="65"/>
    </i>
    <i>
      <x v="87"/>
    </i>
    <i>
      <x v="44"/>
    </i>
    <i>
      <x v="68"/>
    </i>
    <i t="grand">
      <x/>
    </i>
  </rowItems>
  <colItems count="1">
    <i/>
  </colItems>
  <dataFields count="1">
    <dataField name="Sum of Rating"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527B032-0EFC-48DB-A9F7-B8685464C791}"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7" firstHeaderRow="0" firstDataRow="1" firstDataCol="1"/>
  <pivotFields count="15">
    <pivotField showAll="0"/>
    <pivotField showAll="0"/>
    <pivotField numFmtId="164" showAll="0">
      <items count="104">
        <item x="19"/>
        <item x="86"/>
        <item x="102"/>
        <item x="35"/>
        <item x="78"/>
        <item x="29"/>
        <item x="16"/>
        <item x="97"/>
        <item x="47"/>
        <item x="72"/>
        <item x="40"/>
        <item x="90"/>
        <item x="80"/>
        <item x="48"/>
        <item x="59"/>
        <item x="77"/>
        <item x="15"/>
        <item x="65"/>
        <item x="63"/>
        <item x="36"/>
        <item x="54"/>
        <item x="24"/>
        <item x="58"/>
        <item x="101"/>
        <item x="56"/>
        <item x="39"/>
        <item x="51"/>
        <item x="13"/>
        <item x="66"/>
        <item x="92"/>
        <item x="1"/>
        <item x="12"/>
        <item x="41"/>
        <item x="83"/>
        <item x="81"/>
        <item x="45"/>
        <item x="70"/>
        <item x="52"/>
        <item x="69"/>
        <item x="10"/>
        <item x="84"/>
        <item x="21"/>
        <item x="87"/>
        <item x="0"/>
        <item x="67"/>
        <item x="74"/>
        <item x="30"/>
        <item x="7"/>
        <item x="11"/>
        <item x="18"/>
        <item x="43"/>
        <item x="61"/>
        <item x="93"/>
        <item x="98"/>
        <item x="73"/>
        <item x="44"/>
        <item x="46"/>
        <item x="60"/>
        <item x="8"/>
        <item x="85"/>
        <item x="26"/>
        <item x="95"/>
        <item x="50"/>
        <item x="75"/>
        <item x="89"/>
        <item x="79"/>
        <item x="82"/>
        <item x="88"/>
        <item x="68"/>
        <item x="3"/>
        <item x="9"/>
        <item x="34"/>
        <item x="22"/>
        <item x="99"/>
        <item x="49"/>
        <item x="76"/>
        <item x="14"/>
        <item x="71"/>
        <item x="4"/>
        <item x="27"/>
        <item x="100"/>
        <item x="37"/>
        <item x="31"/>
        <item x="20"/>
        <item x="96"/>
        <item x="32"/>
        <item x="33"/>
        <item x="17"/>
        <item x="23"/>
        <item x="57"/>
        <item x="42"/>
        <item x="55"/>
        <item x="2"/>
        <item x="28"/>
        <item x="64"/>
        <item x="6"/>
        <item x="38"/>
        <item x="53"/>
        <item x="25"/>
        <item x="5"/>
        <item x="91"/>
        <item x="94"/>
        <item x="62"/>
        <item t="default"/>
      </items>
    </pivotField>
    <pivotField showAll="0"/>
    <pivotField numFmtId="164" showAll="0"/>
    <pivotField numFmtId="164" showAll="0"/>
    <pivotField numFmtId="10" showAll="0">
      <items count="106">
        <item x="97"/>
        <item x="42"/>
        <item x="102"/>
        <item x="78"/>
        <item x="48"/>
        <item x="101"/>
        <item x="91"/>
        <item x="50"/>
        <item x="73"/>
        <item x="93"/>
        <item x="90"/>
        <item x="5"/>
        <item x="83"/>
        <item x="57"/>
        <item x="85"/>
        <item x="81"/>
        <item x="26"/>
        <item x="18"/>
        <item x="10"/>
        <item x="95"/>
        <item x="62"/>
        <item x="49"/>
        <item x="23"/>
        <item x="6"/>
        <item x="98"/>
        <item x="2"/>
        <item x="4"/>
        <item x="55"/>
        <item x="34"/>
        <item x="33"/>
        <item x="66"/>
        <item x="28"/>
        <item x="27"/>
        <item x="14"/>
        <item x="37"/>
        <item x="99"/>
        <item x="11"/>
        <item x="31"/>
        <item x="100"/>
        <item x="22"/>
        <item x="25"/>
        <item x="77"/>
        <item x="3"/>
        <item x="7"/>
        <item x="0"/>
        <item x="45"/>
        <item x="38"/>
        <item x="64"/>
        <item x="35"/>
        <item x="51"/>
        <item x="36"/>
        <item x="96"/>
        <item x="13"/>
        <item x="21"/>
        <item x="94"/>
        <item x="41"/>
        <item x="72"/>
        <item x="67"/>
        <item x="86"/>
        <item x="68"/>
        <item x="52"/>
        <item x="9"/>
        <item x="63"/>
        <item x="65"/>
        <item x="16"/>
        <item x="75"/>
        <item x="29"/>
        <item x="69"/>
        <item x="12"/>
        <item x="71"/>
        <item x="89"/>
        <item x="104"/>
        <item x="1"/>
        <item x="70"/>
        <item x="88"/>
        <item x="32"/>
        <item x="53"/>
        <item x="87"/>
        <item x="74"/>
        <item x="92"/>
        <item x="82"/>
        <item x="39"/>
        <item x="80"/>
        <item x="84"/>
        <item x="79"/>
        <item x="17"/>
        <item x="76"/>
        <item x="54"/>
        <item x="44"/>
        <item x="60"/>
        <item x="19"/>
        <item x="40"/>
        <item x="43"/>
        <item x="47"/>
        <item x="15"/>
        <item x="30"/>
        <item x="61"/>
        <item x="20"/>
        <item x="58"/>
        <item x="24"/>
        <item x="8"/>
        <item x="59"/>
        <item x="56"/>
        <item x="46"/>
        <item x="103"/>
        <item t="default"/>
      </items>
    </pivotField>
    <pivotField showAll="0"/>
    <pivotField axis="axisRow" showAll="0">
      <items count="4">
        <item x="1"/>
        <item x="2"/>
        <item x="0"/>
        <item t="default"/>
      </items>
    </pivotField>
    <pivotField showAll="0"/>
    <pivotField dataField="1" showAll="0">
      <items count="25">
        <item x="18"/>
        <item x="0"/>
        <item x="11"/>
        <item x="4"/>
        <item x="9"/>
        <item x="3"/>
        <item x="10"/>
        <item x="20"/>
        <item x="7"/>
        <item x="13"/>
        <item x="1"/>
        <item x="5"/>
        <item x="22"/>
        <item x="23"/>
        <item x="16"/>
        <item x="2"/>
        <item x="17"/>
        <item x="19"/>
        <item x="8"/>
        <item x="12"/>
        <item x="15"/>
        <item x="6"/>
        <item x="21"/>
        <item x="14"/>
        <item t="default"/>
      </items>
    </pivotField>
    <pivotField showAll="0"/>
    <pivotField dataField="1" showAll="0">
      <items count="24">
        <item x="22"/>
        <item x="15"/>
        <item x="19"/>
        <item x="20"/>
        <item x="13"/>
        <item x="21"/>
        <item x="17"/>
        <item x="16"/>
        <item x="18"/>
        <item x="14"/>
        <item x="9"/>
        <item x="6"/>
        <item x="5"/>
        <item x="1"/>
        <item x="7"/>
        <item x="12"/>
        <item x="11"/>
        <item x="0"/>
        <item x="2"/>
        <item x="3"/>
        <item x="4"/>
        <item x="8"/>
        <item x="10"/>
        <item t="default"/>
      </items>
    </pivotField>
    <pivotField showAll="0"/>
    <pivotField showAll="0">
      <items count="5">
        <item x="1"/>
        <item x="0"/>
        <item x="2"/>
        <item x="3"/>
        <item t="default"/>
      </items>
    </pivotField>
  </pivotFields>
  <rowFields count="1">
    <field x="8"/>
  </rowFields>
  <rowItems count="4">
    <i>
      <x/>
    </i>
    <i>
      <x v="1"/>
    </i>
    <i>
      <x v="2"/>
    </i>
    <i t="grand">
      <x/>
    </i>
  </rowItems>
  <colFields count="1">
    <field x="-2"/>
  </colFields>
  <colItems count="2">
    <i>
      <x/>
    </i>
    <i i="1">
      <x v="1"/>
    </i>
  </colItems>
  <dataFields count="2">
    <dataField name="Average of Rating" fld="12" subtotal="average" baseField="8" baseItem="0"/>
    <dataField name="Average of Review " fld="10" subtotal="average"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EEC4DE8-2167-416E-BC0F-A6BC2A798824}"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F3:G7" firstHeaderRow="1" firstDataRow="1" firstDataCol="1"/>
  <pivotFields count="15">
    <pivotField dataField="1" showAll="0">
      <items count="110">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t="default"/>
      </items>
    </pivotField>
    <pivotField showAll="0"/>
    <pivotField numFmtId="164" showAll="0">
      <items count="104">
        <item x="19"/>
        <item x="86"/>
        <item x="102"/>
        <item x="35"/>
        <item x="78"/>
        <item x="29"/>
        <item x="16"/>
        <item x="97"/>
        <item x="47"/>
        <item x="72"/>
        <item x="40"/>
        <item x="90"/>
        <item x="80"/>
        <item x="48"/>
        <item x="59"/>
        <item x="77"/>
        <item x="15"/>
        <item x="65"/>
        <item x="63"/>
        <item x="36"/>
        <item x="54"/>
        <item x="24"/>
        <item x="58"/>
        <item x="101"/>
        <item x="56"/>
        <item x="39"/>
        <item x="51"/>
        <item x="13"/>
        <item x="66"/>
        <item x="92"/>
        <item x="1"/>
        <item x="12"/>
        <item x="41"/>
        <item x="83"/>
        <item x="81"/>
        <item x="45"/>
        <item x="70"/>
        <item x="52"/>
        <item x="69"/>
        <item x="10"/>
        <item x="84"/>
        <item x="21"/>
        <item x="87"/>
        <item x="0"/>
        <item x="67"/>
        <item x="74"/>
        <item x="30"/>
        <item x="7"/>
        <item x="11"/>
        <item x="18"/>
        <item x="43"/>
        <item x="61"/>
        <item x="93"/>
        <item x="98"/>
        <item x="73"/>
        <item x="44"/>
        <item x="46"/>
        <item x="60"/>
        <item x="8"/>
        <item x="85"/>
        <item x="26"/>
        <item x="95"/>
        <item x="50"/>
        <item x="75"/>
        <item x="89"/>
        <item x="79"/>
        <item x="82"/>
        <item x="88"/>
        <item x="68"/>
        <item x="3"/>
        <item x="9"/>
        <item x="34"/>
        <item x="22"/>
        <item x="99"/>
        <item x="49"/>
        <item x="76"/>
        <item x="14"/>
        <item x="71"/>
        <item x="4"/>
        <item x="27"/>
        <item x="100"/>
        <item x="37"/>
        <item x="31"/>
        <item x="20"/>
        <item x="96"/>
        <item x="32"/>
        <item x="33"/>
        <item x="17"/>
        <item x="23"/>
        <item x="57"/>
        <item x="42"/>
        <item x="55"/>
        <item x="2"/>
        <item x="28"/>
        <item x="64"/>
        <item x="6"/>
        <item x="38"/>
        <item x="53"/>
        <item x="25"/>
        <item x="5"/>
        <item x="91"/>
        <item x="94"/>
        <item x="62"/>
        <item t="default"/>
      </items>
    </pivotField>
    <pivotField showAll="0"/>
    <pivotField numFmtId="164" showAll="0"/>
    <pivotField numFmtId="164" showAll="0"/>
    <pivotField numFmtId="10" showAll="0">
      <items count="106">
        <item x="97"/>
        <item x="42"/>
        <item x="102"/>
        <item x="78"/>
        <item x="48"/>
        <item x="101"/>
        <item x="91"/>
        <item x="50"/>
        <item x="73"/>
        <item x="93"/>
        <item x="90"/>
        <item x="5"/>
        <item x="83"/>
        <item x="57"/>
        <item x="85"/>
        <item x="81"/>
        <item x="26"/>
        <item x="18"/>
        <item x="10"/>
        <item x="95"/>
        <item x="62"/>
        <item x="49"/>
        <item x="23"/>
        <item x="6"/>
        <item x="98"/>
        <item x="2"/>
        <item x="4"/>
        <item x="55"/>
        <item x="34"/>
        <item x="33"/>
        <item x="66"/>
        <item x="28"/>
        <item x="27"/>
        <item x="14"/>
        <item x="37"/>
        <item x="99"/>
        <item x="11"/>
        <item x="31"/>
        <item x="100"/>
        <item x="22"/>
        <item x="25"/>
        <item x="77"/>
        <item x="3"/>
        <item x="7"/>
        <item x="0"/>
        <item x="45"/>
        <item x="38"/>
        <item x="64"/>
        <item x="35"/>
        <item x="51"/>
        <item x="36"/>
        <item x="96"/>
        <item x="13"/>
        <item x="21"/>
        <item x="94"/>
        <item x="41"/>
        <item x="72"/>
        <item x="67"/>
        <item x="86"/>
        <item x="68"/>
        <item x="52"/>
        <item x="9"/>
        <item x="63"/>
        <item x="65"/>
        <item x="16"/>
        <item x="75"/>
        <item x="29"/>
        <item x="69"/>
        <item x="12"/>
        <item x="71"/>
        <item x="89"/>
        <item x="104"/>
        <item x="1"/>
        <item x="70"/>
        <item x="88"/>
        <item x="32"/>
        <item x="53"/>
        <item x="87"/>
        <item x="74"/>
        <item x="92"/>
        <item x="82"/>
        <item x="39"/>
        <item x="80"/>
        <item x="84"/>
        <item x="79"/>
        <item x="17"/>
        <item x="76"/>
        <item x="54"/>
        <item x="44"/>
        <item x="60"/>
        <item x="19"/>
        <item x="40"/>
        <item x="43"/>
        <item x="47"/>
        <item x="15"/>
        <item x="30"/>
        <item x="61"/>
        <item x="20"/>
        <item x="58"/>
        <item x="24"/>
        <item x="8"/>
        <item x="59"/>
        <item x="56"/>
        <item x="46"/>
        <item x="103"/>
        <item t="default"/>
      </items>
    </pivotField>
    <pivotField showAll="0"/>
    <pivotField axis="axisRow" showAll="0">
      <items count="4">
        <item x="1"/>
        <item x="2"/>
        <item x="0"/>
        <item t="default"/>
      </items>
    </pivotField>
    <pivotField showAll="0"/>
    <pivotField showAll="0"/>
    <pivotField showAll="0"/>
    <pivotField showAll="0"/>
    <pivotField showAll="0"/>
    <pivotField showAll="0">
      <items count="5">
        <item x="1"/>
        <item x="0"/>
        <item x="2"/>
        <item x="3"/>
        <item t="default"/>
      </items>
    </pivotField>
  </pivotFields>
  <rowFields count="1">
    <field x="8"/>
  </rowFields>
  <rowItems count="4">
    <i>
      <x/>
    </i>
    <i>
      <x v="1"/>
    </i>
    <i>
      <x v="2"/>
    </i>
    <i t="grand">
      <x/>
    </i>
  </rowItems>
  <colItems count="1">
    <i/>
  </colItems>
  <dataFields count="1">
    <dataField name="Count of Product" fld="0" subtotal="count" baseField="0" baseItem="0"/>
  </dataFields>
  <chartFormats count="6">
    <chartFormat chart="0" format="0"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0"/>
          </reference>
        </references>
      </pivotArea>
    </chartFormat>
    <chartFormat chart="7" format="6">
      <pivotArea type="data" outline="0" fieldPosition="0">
        <references count="2">
          <reference field="4294967294" count="1" selected="0">
            <x v="0"/>
          </reference>
          <reference field="8" count="1" selected="0">
            <x v="0"/>
          </reference>
        </references>
      </pivotArea>
    </chartFormat>
    <chartFormat chart="7" format="7">
      <pivotArea type="data" outline="0" fieldPosition="0">
        <references count="2">
          <reference field="4294967294" count="1" selected="0">
            <x v="0"/>
          </reference>
          <reference field="8" count="1" selected="0">
            <x v="1"/>
          </reference>
        </references>
      </pivotArea>
    </chartFormat>
    <chartFormat chart="7" format="8">
      <pivotArea type="data" outline="0" fieldPosition="0">
        <references count="2">
          <reference field="4294967294" count="1" selected="0">
            <x v="0"/>
          </reference>
          <reference field="8" count="1" selected="0">
            <x v="2"/>
          </reference>
        </references>
      </pivotArea>
    </chartFormat>
    <chartFormat chart="0" format="1">
      <pivotArea type="data" outline="0" fieldPosition="0">
        <references count="2">
          <reference field="4294967294" count="1" selected="0">
            <x v="0"/>
          </reference>
          <reference field="8"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BAAAC01-5AC9-40D0-83AA-404039BF1AF7}"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7:B12" firstHeaderRow="1" firstDataRow="1" firstDataCol="1"/>
  <pivotFields count="15">
    <pivotField dataField="1" showAll="0">
      <items count="110">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t="default"/>
      </items>
    </pivotField>
    <pivotField showAll="0"/>
    <pivotField numFmtId="164" showAll="0">
      <items count="104">
        <item x="19"/>
        <item x="86"/>
        <item x="102"/>
        <item x="35"/>
        <item x="78"/>
        <item x="29"/>
        <item x="16"/>
        <item x="97"/>
        <item x="47"/>
        <item x="72"/>
        <item x="40"/>
        <item x="90"/>
        <item x="80"/>
        <item x="48"/>
        <item x="59"/>
        <item x="77"/>
        <item x="15"/>
        <item x="65"/>
        <item x="63"/>
        <item x="36"/>
        <item x="54"/>
        <item x="24"/>
        <item x="58"/>
        <item x="101"/>
        <item x="56"/>
        <item x="39"/>
        <item x="51"/>
        <item x="13"/>
        <item x="66"/>
        <item x="92"/>
        <item x="1"/>
        <item x="12"/>
        <item x="41"/>
        <item x="83"/>
        <item x="81"/>
        <item x="45"/>
        <item x="70"/>
        <item x="52"/>
        <item x="69"/>
        <item x="10"/>
        <item x="84"/>
        <item x="21"/>
        <item x="87"/>
        <item x="0"/>
        <item x="67"/>
        <item x="74"/>
        <item x="30"/>
        <item x="7"/>
        <item x="11"/>
        <item x="18"/>
        <item x="43"/>
        <item x="61"/>
        <item x="93"/>
        <item x="98"/>
        <item x="73"/>
        <item x="44"/>
        <item x="46"/>
        <item x="60"/>
        <item x="8"/>
        <item x="85"/>
        <item x="26"/>
        <item x="95"/>
        <item x="50"/>
        <item x="75"/>
        <item x="89"/>
        <item x="79"/>
        <item x="82"/>
        <item x="88"/>
        <item x="68"/>
        <item x="3"/>
        <item x="9"/>
        <item x="34"/>
        <item x="22"/>
        <item x="99"/>
        <item x="49"/>
        <item x="76"/>
        <item x="14"/>
        <item x="71"/>
        <item x="4"/>
        <item x="27"/>
        <item x="100"/>
        <item x="37"/>
        <item x="31"/>
        <item x="20"/>
        <item x="96"/>
        <item x="32"/>
        <item x="33"/>
        <item x="17"/>
        <item x="23"/>
        <item x="57"/>
        <item x="42"/>
        <item x="55"/>
        <item x="2"/>
        <item x="28"/>
        <item x="64"/>
        <item x="6"/>
        <item x="38"/>
        <item x="53"/>
        <item x="25"/>
        <item x="5"/>
        <item x="91"/>
        <item x="94"/>
        <item x="62"/>
        <item t="default"/>
      </items>
    </pivotField>
    <pivotField showAll="0"/>
    <pivotField numFmtId="164" showAll="0"/>
    <pivotField numFmtId="164" showAll="0"/>
    <pivotField numFmtId="10" showAll="0">
      <items count="106">
        <item x="97"/>
        <item x="42"/>
        <item x="102"/>
        <item x="78"/>
        <item x="48"/>
        <item x="101"/>
        <item x="91"/>
        <item x="50"/>
        <item x="73"/>
        <item x="93"/>
        <item x="90"/>
        <item x="5"/>
        <item x="83"/>
        <item x="57"/>
        <item x="85"/>
        <item x="81"/>
        <item x="26"/>
        <item x="18"/>
        <item x="10"/>
        <item x="95"/>
        <item x="62"/>
        <item x="49"/>
        <item x="23"/>
        <item x="6"/>
        <item x="98"/>
        <item x="2"/>
        <item x="4"/>
        <item x="55"/>
        <item x="34"/>
        <item x="33"/>
        <item x="66"/>
        <item x="28"/>
        <item x="27"/>
        <item x="14"/>
        <item x="37"/>
        <item x="99"/>
        <item x="11"/>
        <item x="31"/>
        <item x="100"/>
        <item x="22"/>
        <item x="25"/>
        <item x="77"/>
        <item x="3"/>
        <item x="7"/>
        <item x="0"/>
        <item x="45"/>
        <item x="38"/>
        <item x="64"/>
        <item x="35"/>
        <item x="51"/>
        <item x="36"/>
        <item x="96"/>
        <item x="13"/>
        <item x="21"/>
        <item x="94"/>
        <item x="41"/>
        <item x="72"/>
        <item x="67"/>
        <item x="86"/>
        <item x="68"/>
        <item x="52"/>
        <item x="9"/>
        <item x="63"/>
        <item x="65"/>
        <item x="16"/>
        <item x="75"/>
        <item x="29"/>
        <item x="69"/>
        <item x="12"/>
        <item x="71"/>
        <item x="89"/>
        <item x="104"/>
        <item x="1"/>
        <item x="70"/>
        <item x="88"/>
        <item x="32"/>
        <item x="53"/>
        <item x="87"/>
        <item x="74"/>
        <item x="92"/>
        <item x="82"/>
        <item x="39"/>
        <item x="80"/>
        <item x="84"/>
        <item x="79"/>
        <item x="17"/>
        <item x="76"/>
        <item x="54"/>
        <item x="44"/>
        <item x="60"/>
        <item x="19"/>
        <item x="40"/>
        <item x="43"/>
        <item x="47"/>
        <item x="15"/>
        <item x="30"/>
        <item x="61"/>
        <item x="20"/>
        <item x="58"/>
        <item x="24"/>
        <item x="8"/>
        <item x="59"/>
        <item x="56"/>
        <item x="46"/>
        <item x="103"/>
        <item t="default"/>
      </items>
    </pivotField>
    <pivotField showAll="0"/>
    <pivotField showAll="0">
      <items count="4">
        <item x="1"/>
        <item x="2"/>
        <item x="0"/>
        <item t="default"/>
      </items>
    </pivotField>
    <pivotField showAll="0"/>
    <pivotField showAll="0"/>
    <pivotField showAll="0"/>
    <pivotField showAll="0"/>
    <pivotField showAll="0"/>
    <pivotField axis="axisRow" showAll="0">
      <items count="5">
        <item x="1"/>
        <item x="0"/>
        <item x="2"/>
        <item x="3"/>
        <item t="default"/>
      </items>
    </pivotField>
  </pivotFields>
  <rowFields count="1">
    <field x="14"/>
  </rowFields>
  <rowItems count="5">
    <i>
      <x/>
    </i>
    <i>
      <x v="1"/>
    </i>
    <i>
      <x v="2"/>
    </i>
    <i>
      <x v="3"/>
    </i>
    <i t="grand">
      <x/>
    </i>
  </rowItems>
  <colItems count="1">
    <i/>
  </colItems>
  <dataFields count="1">
    <dataField name="Count of Product" fld="0" subtotal="count" baseField="0" baseItem="0"/>
  </dataFields>
  <chartFormats count="7">
    <chartFormat chart="0" format="0" series="1">
      <pivotArea type="data" outline="0" fieldPosition="0">
        <references count="1">
          <reference field="4294967294" count="1" selected="0">
            <x v="0"/>
          </reference>
        </references>
      </pivotArea>
    </chartFormat>
    <chartFormat chart="8" format="6" series="1">
      <pivotArea type="data" outline="0" fieldPosition="0">
        <references count="1">
          <reference field="4294967294" count="1" selected="0">
            <x v="0"/>
          </reference>
        </references>
      </pivotArea>
    </chartFormat>
    <chartFormat chart="8" format="7">
      <pivotArea type="data" outline="0" fieldPosition="0">
        <references count="2">
          <reference field="4294967294" count="1" selected="0">
            <x v="0"/>
          </reference>
          <reference field="14" count="1" selected="0">
            <x v="0"/>
          </reference>
        </references>
      </pivotArea>
    </chartFormat>
    <chartFormat chart="8" format="8">
      <pivotArea type="data" outline="0" fieldPosition="0">
        <references count="2">
          <reference field="4294967294" count="1" selected="0">
            <x v="0"/>
          </reference>
          <reference field="14" count="1" selected="0">
            <x v="1"/>
          </reference>
        </references>
      </pivotArea>
    </chartFormat>
    <chartFormat chart="8" format="9">
      <pivotArea type="data" outline="0" fieldPosition="0">
        <references count="2">
          <reference field="4294967294" count="1" selected="0">
            <x v="0"/>
          </reference>
          <reference field="14" count="1" selected="0">
            <x v="2"/>
          </reference>
        </references>
      </pivotArea>
    </chartFormat>
    <chartFormat chart="8" format="10">
      <pivotArea type="data" outline="0" fieldPosition="0">
        <references count="2">
          <reference field="4294967294" count="1" selected="0">
            <x v="0"/>
          </reference>
          <reference field="14" count="1" selected="0">
            <x v="3"/>
          </reference>
        </references>
      </pivotArea>
    </chartFormat>
    <chartFormat chart="0" format="1">
      <pivotArea type="data" outline="0" fieldPosition="0">
        <references count="2">
          <reference field="4294967294" count="1" selected="0">
            <x v="0"/>
          </reference>
          <reference field="1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D8418DA-FD8B-4ABB-91C3-A568A51773E0}"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5">
    <pivotField dataField="1" showAll="0">
      <items count="110">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t="default"/>
      </items>
    </pivotField>
    <pivotField showAll="0"/>
    <pivotField numFmtId="164" showAll="0">
      <items count="104">
        <item x="19"/>
        <item x="86"/>
        <item x="102"/>
        <item x="35"/>
        <item x="78"/>
        <item x="29"/>
        <item x="16"/>
        <item x="97"/>
        <item x="47"/>
        <item x="72"/>
        <item x="40"/>
        <item x="90"/>
        <item x="80"/>
        <item x="48"/>
        <item x="59"/>
        <item x="77"/>
        <item x="15"/>
        <item x="65"/>
        <item x="63"/>
        <item x="36"/>
        <item x="54"/>
        <item x="24"/>
        <item x="58"/>
        <item x="101"/>
        <item x="56"/>
        <item x="39"/>
        <item x="51"/>
        <item x="13"/>
        <item x="66"/>
        <item x="92"/>
        <item x="1"/>
        <item x="12"/>
        <item x="41"/>
        <item x="83"/>
        <item x="81"/>
        <item x="45"/>
        <item x="70"/>
        <item x="52"/>
        <item x="69"/>
        <item x="10"/>
        <item x="84"/>
        <item x="21"/>
        <item x="87"/>
        <item x="0"/>
        <item x="67"/>
        <item x="74"/>
        <item x="30"/>
        <item x="7"/>
        <item x="11"/>
        <item x="18"/>
        <item x="43"/>
        <item x="61"/>
        <item x="93"/>
        <item x="98"/>
        <item x="73"/>
        <item x="44"/>
        <item x="46"/>
        <item x="60"/>
        <item x="8"/>
        <item x="85"/>
        <item x="26"/>
        <item x="95"/>
        <item x="50"/>
        <item x="75"/>
        <item x="89"/>
        <item x="79"/>
        <item x="82"/>
        <item x="88"/>
        <item x="68"/>
        <item x="3"/>
        <item x="9"/>
        <item x="34"/>
        <item x="22"/>
        <item x="99"/>
        <item x="49"/>
        <item x="76"/>
        <item x="14"/>
        <item x="71"/>
        <item x="4"/>
        <item x="27"/>
        <item x="100"/>
        <item x="37"/>
        <item x="31"/>
        <item x="20"/>
        <item x="96"/>
        <item x="32"/>
        <item x="33"/>
        <item x="17"/>
        <item x="23"/>
        <item x="57"/>
        <item x="42"/>
        <item x="55"/>
        <item x="2"/>
        <item x="28"/>
        <item x="64"/>
        <item x="6"/>
        <item x="38"/>
        <item x="53"/>
        <item x="25"/>
        <item x="5"/>
        <item x="91"/>
        <item x="94"/>
        <item x="62"/>
        <item t="default"/>
      </items>
    </pivotField>
    <pivotField showAll="0"/>
    <pivotField numFmtId="164" showAll="0"/>
    <pivotField numFmtId="164" showAll="0"/>
    <pivotField dataField="1" numFmtId="10" showAll="0">
      <items count="106">
        <item x="97"/>
        <item x="42"/>
        <item x="102"/>
        <item x="78"/>
        <item x="48"/>
        <item x="101"/>
        <item x="91"/>
        <item x="50"/>
        <item x="73"/>
        <item x="93"/>
        <item x="90"/>
        <item x="5"/>
        <item x="83"/>
        <item x="57"/>
        <item x="85"/>
        <item x="81"/>
        <item x="26"/>
        <item x="18"/>
        <item x="10"/>
        <item x="95"/>
        <item x="62"/>
        <item x="49"/>
        <item x="23"/>
        <item x="6"/>
        <item x="98"/>
        <item x="2"/>
        <item x="4"/>
        <item x="55"/>
        <item x="34"/>
        <item x="33"/>
        <item x="66"/>
        <item x="28"/>
        <item x="27"/>
        <item x="14"/>
        <item x="37"/>
        <item x="99"/>
        <item x="11"/>
        <item x="31"/>
        <item x="100"/>
        <item x="22"/>
        <item x="25"/>
        <item x="77"/>
        <item x="3"/>
        <item x="7"/>
        <item x="0"/>
        <item x="45"/>
        <item x="38"/>
        <item x="64"/>
        <item x="35"/>
        <item x="51"/>
        <item x="36"/>
        <item x="96"/>
        <item x="13"/>
        <item x="21"/>
        <item x="94"/>
        <item x="41"/>
        <item x="72"/>
        <item x="67"/>
        <item x="86"/>
        <item x="68"/>
        <item x="52"/>
        <item x="9"/>
        <item x="63"/>
        <item x="65"/>
        <item x="16"/>
        <item x="75"/>
        <item x="29"/>
        <item x="69"/>
        <item x="12"/>
        <item x="71"/>
        <item x="89"/>
        <item x="104"/>
        <item x="1"/>
        <item x="70"/>
        <item x="88"/>
        <item x="32"/>
        <item x="53"/>
        <item x="87"/>
        <item x="74"/>
        <item x="92"/>
        <item x="82"/>
        <item x="39"/>
        <item x="80"/>
        <item x="84"/>
        <item x="79"/>
        <item x="17"/>
        <item x="76"/>
        <item x="54"/>
        <item x="44"/>
        <item x="60"/>
        <item x="19"/>
        <item x="40"/>
        <item x="43"/>
        <item x="47"/>
        <item x="15"/>
        <item x="30"/>
        <item x="61"/>
        <item x="20"/>
        <item x="58"/>
        <item x="24"/>
        <item x="8"/>
        <item x="59"/>
        <item x="56"/>
        <item x="46"/>
        <item x="103"/>
        <item t="default"/>
      </items>
    </pivotField>
    <pivotField showAll="0"/>
    <pivotField showAll="0">
      <items count="4">
        <item x="1"/>
        <item x="2"/>
        <item x="0"/>
        <item t="default"/>
      </items>
    </pivotField>
    <pivotField showAll="0"/>
    <pivotField dataField="1" showAll="0">
      <items count="25">
        <item x="18"/>
        <item x="0"/>
        <item x="11"/>
        <item x="4"/>
        <item x="9"/>
        <item x="3"/>
        <item x="10"/>
        <item x="20"/>
        <item x="7"/>
        <item x="13"/>
        <item x="1"/>
        <item x="5"/>
        <item x="22"/>
        <item x="23"/>
        <item x="16"/>
        <item x="2"/>
        <item x="17"/>
        <item x="19"/>
        <item x="8"/>
        <item x="12"/>
        <item x="15"/>
        <item x="6"/>
        <item x="21"/>
        <item x="14"/>
        <item t="default"/>
      </items>
    </pivotField>
    <pivotField showAll="0"/>
    <pivotField dataField="1" showAll="0">
      <items count="24">
        <item x="22"/>
        <item x="15"/>
        <item x="19"/>
        <item x="20"/>
        <item x="13"/>
        <item x="21"/>
        <item x="17"/>
        <item x="16"/>
        <item x="18"/>
        <item x="14"/>
        <item x="9"/>
        <item x="6"/>
        <item x="5"/>
        <item x="1"/>
        <item x="7"/>
        <item x="12"/>
        <item x="11"/>
        <item x="0"/>
        <item x="2"/>
        <item x="3"/>
        <item x="4"/>
        <item x="8"/>
        <item x="10"/>
        <item t="default"/>
      </items>
    </pivotField>
    <pivotField showAll="0"/>
    <pivotField showAll="0">
      <items count="5">
        <item x="1"/>
        <item x="0"/>
        <item x="2"/>
        <item x="3"/>
        <item t="default"/>
      </items>
    </pivotField>
  </pivotFields>
  <rowItems count="1">
    <i/>
  </rowItems>
  <colFields count="1">
    <field x="-2"/>
  </colFields>
  <colItems count="4">
    <i>
      <x/>
    </i>
    <i i="1">
      <x v="1"/>
    </i>
    <i i="2">
      <x v="2"/>
    </i>
    <i i="3">
      <x v="3"/>
    </i>
  </colItems>
  <dataFields count="4">
    <dataField name="Total Products" fld="0" subtotal="count" baseField="0" baseItem="1" numFmtId="1"/>
    <dataField name="Average Rating" fld="12" subtotal="average" baseField="0" baseItem="1" numFmtId="2"/>
    <dataField name="Average Discount(%)" fld="6" subtotal="average" baseField="0" baseItem="2" numFmtId="10"/>
    <dataField name="Total Reviews" fld="10" baseField="0" baseItem="3" numFmtId="1"/>
  </dataFields>
  <formats count="3">
    <format dxfId="9">
      <pivotArea outline="0" collapsedLevelsAreSubtotals="1" fieldPosition="0">
        <references count="1">
          <reference field="4294967294" count="1" selected="0">
            <x v="0"/>
          </reference>
        </references>
      </pivotArea>
    </format>
    <format dxfId="8">
      <pivotArea outline="0" collapsedLevelsAreSubtotals="1" fieldPosition="0">
        <references count="1">
          <reference field="4294967294" count="1" selected="0">
            <x v="1"/>
          </reference>
        </references>
      </pivotArea>
    </format>
    <format dxfId="7">
      <pivotArea outline="0" collapsedLevelsAreSubtotals="1" fieldPosition="0">
        <references count="1">
          <reference field="4294967294" count="1" selected="0">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196B525-81E8-4E43-830A-550C203AEAC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4" firstHeaderRow="1" firstDataRow="1" firstDataCol="1"/>
  <pivotFields count="15">
    <pivotField axis="axisRow" showAll="0" measureFilter="1" sortType="descending">
      <items count="110">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t="default"/>
      </items>
      <autoSortScope>
        <pivotArea dataOnly="0" outline="0" fieldPosition="0">
          <references count="1">
            <reference field="4294967294" count="1" selected="0">
              <x v="0"/>
            </reference>
          </references>
        </pivotArea>
      </autoSortScope>
    </pivotField>
    <pivotField showAll="0"/>
    <pivotField numFmtId="164" showAll="0">
      <items count="104">
        <item x="19"/>
        <item x="86"/>
        <item x="102"/>
        <item x="35"/>
        <item x="78"/>
        <item x="29"/>
        <item x="16"/>
        <item x="97"/>
        <item x="47"/>
        <item x="72"/>
        <item x="40"/>
        <item x="90"/>
        <item x="80"/>
        <item x="48"/>
        <item x="59"/>
        <item x="77"/>
        <item x="15"/>
        <item x="65"/>
        <item x="63"/>
        <item x="36"/>
        <item x="54"/>
        <item x="24"/>
        <item x="58"/>
        <item x="101"/>
        <item x="56"/>
        <item x="39"/>
        <item x="51"/>
        <item x="13"/>
        <item x="66"/>
        <item x="92"/>
        <item x="1"/>
        <item x="12"/>
        <item x="41"/>
        <item x="83"/>
        <item x="81"/>
        <item x="45"/>
        <item x="70"/>
        <item x="52"/>
        <item x="69"/>
        <item x="10"/>
        <item x="84"/>
        <item x="21"/>
        <item x="87"/>
        <item x="0"/>
        <item x="67"/>
        <item x="74"/>
        <item x="30"/>
        <item x="7"/>
        <item x="11"/>
        <item x="18"/>
        <item x="43"/>
        <item x="61"/>
        <item x="93"/>
        <item x="98"/>
        <item x="73"/>
        <item x="44"/>
        <item x="46"/>
        <item x="60"/>
        <item x="8"/>
        <item x="85"/>
        <item x="26"/>
        <item x="95"/>
        <item x="50"/>
        <item x="75"/>
        <item x="89"/>
        <item x="79"/>
        <item x="82"/>
        <item x="88"/>
        <item x="68"/>
        <item x="3"/>
        <item x="9"/>
        <item x="34"/>
        <item x="22"/>
        <item x="99"/>
        <item x="49"/>
        <item x="76"/>
        <item x="14"/>
        <item x="71"/>
        <item x="4"/>
        <item x="27"/>
        <item x="100"/>
        <item x="37"/>
        <item x="31"/>
        <item x="20"/>
        <item x="96"/>
        <item x="32"/>
        <item x="33"/>
        <item x="17"/>
        <item x="23"/>
        <item x="57"/>
        <item x="42"/>
        <item x="55"/>
        <item x="2"/>
        <item x="28"/>
        <item x="64"/>
        <item x="6"/>
        <item x="38"/>
        <item x="53"/>
        <item x="25"/>
        <item x="5"/>
        <item x="91"/>
        <item x="94"/>
        <item x="62"/>
        <item t="default"/>
      </items>
    </pivotField>
    <pivotField showAll="0"/>
    <pivotField numFmtId="164" showAll="0"/>
    <pivotField numFmtId="164" showAll="0"/>
    <pivotField numFmtId="10" showAll="0">
      <items count="106">
        <item x="97"/>
        <item x="42"/>
        <item x="102"/>
        <item x="78"/>
        <item x="48"/>
        <item x="101"/>
        <item x="91"/>
        <item x="50"/>
        <item x="73"/>
        <item x="93"/>
        <item x="90"/>
        <item x="5"/>
        <item x="83"/>
        <item x="57"/>
        <item x="85"/>
        <item x="81"/>
        <item x="26"/>
        <item x="18"/>
        <item x="10"/>
        <item x="95"/>
        <item x="62"/>
        <item x="49"/>
        <item x="23"/>
        <item x="6"/>
        <item x="98"/>
        <item x="2"/>
        <item x="4"/>
        <item x="55"/>
        <item x="34"/>
        <item x="33"/>
        <item x="66"/>
        <item x="28"/>
        <item x="27"/>
        <item x="14"/>
        <item x="37"/>
        <item x="99"/>
        <item x="11"/>
        <item x="31"/>
        <item x="100"/>
        <item x="22"/>
        <item x="25"/>
        <item x="77"/>
        <item x="3"/>
        <item x="7"/>
        <item x="0"/>
        <item x="45"/>
        <item x="38"/>
        <item x="64"/>
        <item x="35"/>
        <item x="51"/>
        <item x="36"/>
        <item x="96"/>
        <item x="13"/>
        <item x="21"/>
        <item x="94"/>
        <item x="41"/>
        <item x="72"/>
        <item x="67"/>
        <item x="86"/>
        <item x="68"/>
        <item x="52"/>
        <item x="9"/>
        <item x="63"/>
        <item x="65"/>
        <item x="16"/>
        <item x="75"/>
        <item x="29"/>
        <item x="69"/>
        <item x="12"/>
        <item x="71"/>
        <item x="89"/>
        <item x="104"/>
        <item x="1"/>
        <item x="70"/>
        <item x="88"/>
        <item x="32"/>
        <item x="53"/>
        <item x="87"/>
        <item x="74"/>
        <item x="92"/>
        <item x="82"/>
        <item x="39"/>
        <item x="80"/>
        <item x="84"/>
        <item x="79"/>
        <item x="17"/>
        <item x="76"/>
        <item x="54"/>
        <item x="44"/>
        <item x="60"/>
        <item x="19"/>
        <item x="40"/>
        <item x="43"/>
        <item x="47"/>
        <item x="15"/>
        <item x="30"/>
        <item x="61"/>
        <item x="20"/>
        <item x="58"/>
        <item x="24"/>
        <item x="8"/>
        <item x="59"/>
        <item x="56"/>
        <item x="46"/>
        <item x="103"/>
        <item t="default"/>
      </items>
    </pivotField>
    <pivotField showAll="0"/>
    <pivotField showAll="0">
      <items count="4">
        <item x="1"/>
        <item x="2"/>
        <item x="0"/>
        <item t="default"/>
      </items>
    </pivotField>
    <pivotField showAll="0"/>
    <pivotField dataField="1" showAll="0">
      <items count="25">
        <item x="18"/>
        <item x="0"/>
        <item x="11"/>
        <item x="4"/>
        <item x="9"/>
        <item x="3"/>
        <item x="10"/>
        <item x="20"/>
        <item x="7"/>
        <item x="13"/>
        <item x="1"/>
        <item x="5"/>
        <item x="22"/>
        <item x="23"/>
        <item x="16"/>
        <item x="2"/>
        <item x="17"/>
        <item x="19"/>
        <item x="8"/>
        <item x="12"/>
        <item x="15"/>
        <item x="6"/>
        <item x="21"/>
        <item x="14"/>
        <item t="default"/>
      </items>
    </pivotField>
    <pivotField showAll="0"/>
    <pivotField showAll="0"/>
    <pivotField showAll="0"/>
    <pivotField showAll="0">
      <items count="5">
        <item x="1"/>
        <item x="0"/>
        <item x="2"/>
        <item x="3"/>
        <item t="default"/>
      </items>
    </pivotField>
  </pivotFields>
  <rowFields count="1">
    <field x="0"/>
  </rowFields>
  <rowItems count="11">
    <i>
      <x v="5"/>
    </i>
    <i>
      <x v="8"/>
    </i>
    <i>
      <x v="59"/>
    </i>
    <i>
      <x v="18"/>
    </i>
    <i>
      <x v="1"/>
    </i>
    <i>
      <x v="95"/>
    </i>
    <i>
      <x v="27"/>
    </i>
    <i>
      <x v="91"/>
    </i>
    <i>
      <x v="28"/>
    </i>
    <i>
      <x v="26"/>
    </i>
    <i t="grand">
      <x/>
    </i>
  </rowItems>
  <colItems count="1">
    <i/>
  </colItems>
  <dataFields count="1">
    <dataField name="Sum of Review " fld="10"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005E36C-2F34-4E98-B1C3-D886B6E78D0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4" firstHeaderRow="1" firstDataRow="1" firstDataCol="1"/>
  <pivotFields count="15">
    <pivotField axis="axisRow" showAll="0" measureFilter="1" sortType="descending">
      <items count="110">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t="default"/>
      </items>
      <autoSortScope>
        <pivotArea dataOnly="0" outline="0" fieldPosition="0">
          <references count="1">
            <reference field="4294967294" count="1" selected="0">
              <x v="0"/>
            </reference>
          </references>
        </pivotArea>
      </autoSortScope>
    </pivotField>
    <pivotField showAll="0"/>
    <pivotField numFmtId="164" showAll="0">
      <items count="104">
        <item x="19"/>
        <item x="86"/>
        <item x="102"/>
        <item x="35"/>
        <item x="78"/>
        <item x="29"/>
        <item x="16"/>
        <item x="97"/>
        <item x="47"/>
        <item x="72"/>
        <item x="40"/>
        <item x="90"/>
        <item x="80"/>
        <item x="48"/>
        <item x="59"/>
        <item x="77"/>
        <item x="15"/>
        <item x="65"/>
        <item x="63"/>
        <item x="36"/>
        <item x="54"/>
        <item x="24"/>
        <item x="58"/>
        <item x="101"/>
        <item x="56"/>
        <item x="39"/>
        <item x="51"/>
        <item x="13"/>
        <item x="66"/>
        <item x="92"/>
        <item x="1"/>
        <item x="12"/>
        <item x="41"/>
        <item x="83"/>
        <item x="81"/>
        <item x="45"/>
        <item x="70"/>
        <item x="52"/>
        <item x="69"/>
        <item x="10"/>
        <item x="84"/>
        <item x="21"/>
        <item x="87"/>
        <item x="0"/>
        <item x="67"/>
        <item x="74"/>
        <item x="30"/>
        <item x="7"/>
        <item x="11"/>
        <item x="18"/>
        <item x="43"/>
        <item x="61"/>
        <item x="93"/>
        <item x="98"/>
        <item x="73"/>
        <item x="44"/>
        <item x="46"/>
        <item x="60"/>
        <item x="8"/>
        <item x="85"/>
        <item x="26"/>
        <item x="95"/>
        <item x="50"/>
        <item x="75"/>
        <item x="89"/>
        <item x="79"/>
        <item x="82"/>
        <item x="88"/>
        <item x="68"/>
        <item x="3"/>
        <item x="9"/>
        <item x="34"/>
        <item x="22"/>
        <item x="99"/>
        <item x="49"/>
        <item x="76"/>
        <item x="14"/>
        <item x="71"/>
        <item x="4"/>
        <item x="27"/>
        <item x="100"/>
        <item x="37"/>
        <item x="31"/>
        <item x="20"/>
        <item x="96"/>
        <item x="32"/>
        <item x="33"/>
        <item x="17"/>
        <item x="23"/>
        <item x="57"/>
        <item x="42"/>
        <item x="55"/>
        <item x="2"/>
        <item x="28"/>
        <item x="64"/>
        <item x="6"/>
        <item x="38"/>
        <item x="53"/>
        <item x="25"/>
        <item x="5"/>
        <item x="91"/>
        <item x="94"/>
        <item x="62"/>
        <item t="default"/>
      </items>
    </pivotField>
    <pivotField showAll="0"/>
    <pivotField numFmtId="164" showAll="0"/>
    <pivotField numFmtId="164" showAll="0"/>
    <pivotField dataField="1" numFmtId="10" showAll="0">
      <items count="106">
        <item x="97"/>
        <item x="42"/>
        <item x="102"/>
        <item x="78"/>
        <item x="48"/>
        <item x="101"/>
        <item x="91"/>
        <item x="50"/>
        <item x="73"/>
        <item x="93"/>
        <item x="90"/>
        <item x="5"/>
        <item x="83"/>
        <item x="57"/>
        <item x="85"/>
        <item x="81"/>
        <item x="26"/>
        <item x="18"/>
        <item x="10"/>
        <item x="95"/>
        <item x="62"/>
        <item x="49"/>
        <item x="23"/>
        <item x="6"/>
        <item x="98"/>
        <item x="2"/>
        <item x="4"/>
        <item x="55"/>
        <item x="34"/>
        <item x="33"/>
        <item x="66"/>
        <item x="28"/>
        <item x="27"/>
        <item x="14"/>
        <item x="37"/>
        <item x="99"/>
        <item x="11"/>
        <item x="31"/>
        <item x="100"/>
        <item x="22"/>
        <item x="25"/>
        <item x="77"/>
        <item x="3"/>
        <item x="7"/>
        <item x="0"/>
        <item x="45"/>
        <item x="38"/>
        <item x="64"/>
        <item x="35"/>
        <item x="51"/>
        <item x="36"/>
        <item x="96"/>
        <item x="13"/>
        <item x="21"/>
        <item x="94"/>
        <item x="41"/>
        <item x="72"/>
        <item x="67"/>
        <item x="86"/>
        <item x="68"/>
        <item x="52"/>
        <item x="9"/>
        <item x="63"/>
        <item x="65"/>
        <item x="16"/>
        <item x="75"/>
        <item x="29"/>
        <item x="69"/>
        <item x="12"/>
        <item x="71"/>
        <item x="89"/>
        <item x="104"/>
        <item x="1"/>
        <item x="70"/>
        <item x="88"/>
        <item x="32"/>
        <item x="53"/>
        <item x="87"/>
        <item x="74"/>
        <item x="92"/>
        <item x="82"/>
        <item x="39"/>
        <item x="80"/>
        <item x="84"/>
        <item x="79"/>
        <item x="17"/>
        <item x="76"/>
        <item x="54"/>
        <item x="44"/>
        <item x="60"/>
        <item x="19"/>
        <item x="40"/>
        <item x="43"/>
        <item x="47"/>
        <item x="15"/>
        <item x="30"/>
        <item x="61"/>
        <item x="20"/>
        <item x="58"/>
        <item x="24"/>
        <item x="8"/>
        <item x="59"/>
        <item x="56"/>
        <item x="46"/>
        <item x="103"/>
        <item t="default"/>
      </items>
    </pivotField>
    <pivotField showAll="0"/>
    <pivotField showAll="0">
      <items count="4">
        <item x="1"/>
        <item x="2"/>
        <item x="0"/>
        <item t="default"/>
      </items>
    </pivotField>
    <pivotField showAll="0"/>
    <pivotField showAll="0"/>
    <pivotField showAll="0"/>
    <pivotField showAll="0"/>
    <pivotField showAll="0"/>
    <pivotField showAll="0">
      <items count="5">
        <item x="1"/>
        <item x="0"/>
        <item x="2"/>
        <item x="3"/>
        <item t="default"/>
      </items>
    </pivotField>
  </pivotFields>
  <rowFields count="1">
    <field x="0"/>
  </rowFields>
  <rowItems count="11">
    <i>
      <x v="31"/>
    </i>
    <i>
      <x v="30"/>
    </i>
    <i>
      <x v="53"/>
    </i>
    <i>
      <x v="70"/>
    </i>
    <i>
      <x v="67"/>
    </i>
    <i>
      <x v="84"/>
    </i>
    <i>
      <x v="20"/>
    </i>
    <i>
      <x v="52"/>
    </i>
    <i>
      <x v="64"/>
    </i>
    <i>
      <x v="60"/>
    </i>
    <i t="grand">
      <x/>
    </i>
  </rowItems>
  <colItems count="1">
    <i/>
  </colItems>
  <dataFields count="1">
    <dataField name="Average of Discount(%)" fld="6" subtotal="average" baseField="0" baseItem="0" numFmtId="10"/>
  </dataFields>
  <chartFormats count="2">
    <chartFormat chart="2"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C4EA0B2-1F16-475B-9145-8E1BB79988C1}"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5">
    <pivotField showAll="0"/>
    <pivotField showAll="0"/>
    <pivotField dataField="1" numFmtId="164" showAll="0">
      <items count="104">
        <item x="19"/>
        <item x="86"/>
        <item x="102"/>
        <item x="35"/>
        <item x="78"/>
        <item x="29"/>
        <item x="16"/>
        <item x="97"/>
        <item x="47"/>
        <item x="72"/>
        <item x="40"/>
        <item x="90"/>
        <item x="80"/>
        <item x="48"/>
        <item x="59"/>
        <item x="77"/>
        <item x="15"/>
        <item x="65"/>
        <item x="63"/>
        <item x="36"/>
        <item x="54"/>
        <item x="24"/>
        <item x="58"/>
        <item x="101"/>
        <item x="56"/>
        <item x="39"/>
        <item x="51"/>
        <item x="13"/>
        <item x="66"/>
        <item x="92"/>
        <item x="1"/>
        <item x="12"/>
        <item x="41"/>
        <item x="83"/>
        <item x="81"/>
        <item x="45"/>
        <item x="70"/>
        <item x="52"/>
        <item x="69"/>
        <item x="10"/>
        <item x="84"/>
        <item x="21"/>
        <item x="87"/>
        <item x="0"/>
        <item x="67"/>
        <item x="74"/>
        <item x="30"/>
        <item x="7"/>
        <item x="11"/>
        <item x="18"/>
        <item x="43"/>
        <item x="61"/>
        <item x="93"/>
        <item x="98"/>
        <item x="73"/>
        <item x="44"/>
        <item x="46"/>
        <item x="60"/>
        <item x="8"/>
        <item x="85"/>
        <item x="26"/>
        <item x="95"/>
        <item x="50"/>
        <item x="75"/>
        <item x="89"/>
        <item x="79"/>
        <item x="82"/>
        <item x="88"/>
        <item x="68"/>
        <item x="3"/>
        <item x="9"/>
        <item x="34"/>
        <item x="22"/>
        <item x="99"/>
        <item x="49"/>
        <item x="76"/>
        <item x="14"/>
        <item x="71"/>
        <item x="4"/>
        <item x="27"/>
        <item x="100"/>
        <item x="37"/>
        <item x="31"/>
        <item x="20"/>
        <item x="96"/>
        <item x="32"/>
        <item x="33"/>
        <item x="17"/>
        <item x="23"/>
        <item x="57"/>
        <item x="42"/>
        <item x="55"/>
        <item x="2"/>
        <item x="28"/>
        <item x="64"/>
        <item x="6"/>
        <item x="38"/>
        <item x="53"/>
        <item x="25"/>
        <item x="5"/>
        <item x="91"/>
        <item x="94"/>
        <item x="62"/>
        <item t="default"/>
      </items>
    </pivotField>
    <pivotField showAll="0"/>
    <pivotField dataField="1" numFmtId="164" showAll="0"/>
    <pivotField numFmtId="164" showAll="0"/>
    <pivotField dataField="1" numFmtId="10" showAll="0">
      <items count="106">
        <item x="97"/>
        <item x="42"/>
        <item x="102"/>
        <item x="78"/>
        <item x="48"/>
        <item x="101"/>
        <item x="91"/>
        <item x="50"/>
        <item x="73"/>
        <item x="93"/>
        <item x="90"/>
        <item x="5"/>
        <item x="83"/>
        <item x="57"/>
        <item x="85"/>
        <item x="81"/>
        <item x="26"/>
        <item x="18"/>
        <item x="10"/>
        <item x="95"/>
        <item x="62"/>
        <item x="49"/>
        <item x="23"/>
        <item x="6"/>
        <item x="98"/>
        <item x="2"/>
        <item x="4"/>
        <item x="55"/>
        <item x="34"/>
        <item x="33"/>
        <item x="66"/>
        <item x="28"/>
        <item x="27"/>
        <item x="14"/>
        <item x="37"/>
        <item x="99"/>
        <item x="11"/>
        <item x="31"/>
        <item x="100"/>
        <item x="22"/>
        <item x="25"/>
        <item x="77"/>
        <item x="3"/>
        <item x="7"/>
        <item x="0"/>
        <item x="45"/>
        <item x="38"/>
        <item x="64"/>
        <item x="35"/>
        <item x="51"/>
        <item x="36"/>
        <item x="96"/>
        <item x="13"/>
        <item x="21"/>
        <item x="94"/>
        <item x="41"/>
        <item x="72"/>
        <item x="67"/>
        <item x="86"/>
        <item x="68"/>
        <item x="52"/>
        <item x="9"/>
        <item x="63"/>
        <item x="65"/>
        <item x="16"/>
        <item x="75"/>
        <item x="29"/>
        <item x="69"/>
        <item x="12"/>
        <item x="71"/>
        <item x="89"/>
        <item x="104"/>
        <item x="1"/>
        <item x="70"/>
        <item x="88"/>
        <item x="32"/>
        <item x="53"/>
        <item x="87"/>
        <item x="74"/>
        <item x="92"/>
        <item x="82"/>
        <item x="39"/>
        <item x="80"/>
        <item x="84"/>
        <item x="79"/>
        <item x="17"/>
        <item x="76"/>
        <item x="54"/>
        <item x="44"/>
        <item x="60"/>
        <item x="19"/>
        <item x="40"/>
        <item x="43"/>
        <item x="47"/>
        <item x="15"/>
        <item x="30"/>
        <item x="61"/>
        <item x="20"/>
        <item x="58"/>
        <item x="24"/>
        <item x="8"/>
        <item x="59"/>
        <item x="56"/>
        <item x="46"/>
        <item x="103"/>
        <item t="default"/>
      </items>
    </pivotField>
    <pivotField showAll="0"/>
    <pivotField showAll="0">
      <items count="4">
        <item x="1"/>
        <item x="2"/>
        <item x="0"/>
        <item t="default"/>
      </items>
    </pivotField>
    <pivotField showAll="0"/>
    <pivotField showAll="0"/>
    <pivotField showAll="0"/>
    <pivotField dataField="1" showAll="0">
      <items count="24">
        <item x="22"/>
        <item x="15"/>
        <item x="19"/>
        <item x="20"/>
        <item x="13"/>
        <item x="21"/>
        <item x="17"/>
        <item x="16"/>
        <item x="18"/>
        <item x="14"/>
        <item x="9"/>
        <item x="6"/>
        <item x="5"/>
        <item x="1"/>
        <item x="7"/>
        <item x="12"/>
        <item x="11"/>
        <item x="0"/>
        <item x="2"/>
        <item x="3"/>
        <item x="4"/>
        <item x="8"/>
        <item x="10"/>
        <item t="default"/>
      </items>
    </pivotField>
    <pivotField showAll="0"/>
    <pivotField showAll="0">
      <items count="5">
        <item x="1"/>
        <item x="0"/>
        <item x="2"/>
        <item x="3"/>
        <item t="default"/>
      </items>
    </pivotField>
  </pivotFields>
  <rowItems count="1">
    <i/>
  </rowItems>
  <colFields count="1">
    <field x="-2"/>
  </colFields>
  <colItems count="4">
    <i>
      <x/>
    </i>
    <i i="1">
      <x v="1"/>
    </i>
    <i i="2">
      <x v="2"/>
    </i>
    <i i="3">
      <x v="3"/>
    </i>
  </colItems>
  <dataFields count="4">
    <dataField name="Average of Current Price" fld="2" subtotal="average" baseField="0" baseItem="1" numFmtId="164"/>
    <dataField name="Average of Old Price" fld="4" subtotal="average" baseField="0" baseItem="1" numFmtId="164"/>
    <dataField name="Average of Discount(%)" fld="6" subtotal="average" baseField="0" baseItem="1" numFmtId="10"/>
    <dataField name="Average of Rating" fld="12" subtotal="average"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83AEE0F-507C-47BD-9BB6-39C599D66242}"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13" firstHeaderRow="1" firstDataRow="1" firstDataCol="1"/>
  <pivotFields count="15">
    <pivotField axis="axisRow" showAll="0">
      <items count="110">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t="default"/>
      </items>
    </pivotField>
    <pivotField showAll="0"/>
    <pivotField dataField="1" numFmtId="164" showAll="0">
      <items count="104">
        <item x="19"/>
        <item x="86"/>
        <item x="102"/>
        <item x="35"/>
        <item x="78"/>
        <item x="29"/>
        <item x="16"/>
        <item x="97"/>
        <item x="47"/>
        <item x="72"/>
        <item x="40"/>
        <item x="90"/>
        <item x="80"/>
        <item x="48"/>
        <item x="59"/>
        <item x="77"/>
        <item x="15"/>
        <item x="65"/>
        <item x="63"/>
        <item x="36"/>
        <item x="54"/>
        <item x="24"/>
        <item x="58"/>
        <item x="101"/>
        <item x="56"/>
        <item x="39"/>
        <item x="51"/>
        <item x="13"/>
        <item x="66"/>
        <item x="92"/>
        <item x="1"/>
        <item x="12"/>
        <item x="41"/>
        <item x="83"/>
        <item x="81"/>
        <item x="45"/>
        <item x="70"/>
        <item x="52"/>
        <item x="69"/>
        <item x="10"/>
        <item x="84"/>
        <item x="21"/>
        <item x="87"/>
        <item x="0"/>
        <item x="67"/>
        <item x="74"/>
        <item x="30"/>
        <item x="7"/>
        <item x="11"/>
        <item x="18"/>
        <item x="43"/>
        <item x="61"/>
        <item x="93"/>
        <item x="98"/>
        <item x="73"/>
        <item x="44"/>
        <item x="46"/>
        <item x="60"/>
        <item x="8"/>
        <item x="85"/>
        <item x="26"/>
        <item x="95"/>
        <item x="50"/>
        <item x="75"/>
        <item x="89"/>
        <item x="79"/>
        <item x="82"/>
        <item x="88"/>
        <item x="68"/>
        <item x="3"/>
        <item x="9"/>
        <item x="34"/>
        <item x="22"/>
        <item x="99"/>
        <item x="49"/>
        <item x="76"/>
        <item x="14"/>
        <item x="71"/>
        <item x="4"/>
        <item x="27"/>
        <item x="100"/>
        <item x="37"/>
        <item x="31"/>
        <item x="20"/>
        <item x="96"/>
        <item x="32"/>
        <item x="33"/>
        <item x="17"/>
        <item x="23"/>
        <item x="57"/>
        <item x="42"/>
        <item x="55"/>
        <item x="2"/>
        <item x="28"/>
        <item x="64"/>
        <item x="6"/>
        <item x="38"/>
        <item x="53"/>
        <item x="25"/>
        <item x="5"/>
        <item x="91"/>
        <item x="94"/>
        <item x="62"/>
        <item t="default"/>
      </items>
    </pivotField>
    <pivotField showAll="0"/>
    <pivotField numFmtId="164" showAll="0"/>
    <pivotField numFmtId="164" showAll="0"/>
    <pivotField numFmtId="10" showAll="0">
      <items count="106">
        <item x="97"/>
        <item x="42"/>
        <item x="102"/>
        <item x="78"/>
        <item x="48"/>
        <item x="101"/>
        <item x="91"/>
        <item x="50"/>
        <item x="73"/>
        <item x="93"/>
        <item x="90"/>
        <item x="5"/>
        <item x="83"/>
        <item x="57"/>
        <item x="85"/>
        <item x="81"/>
        <item x="26"/>
        <item x="18"/>
        <item x="10"/>
        <item x="95"/>
        <item x="62"/>
        <item x="49"/>
        <item x="23"/>
        <item x="6"/>
        <item x="98"/>
        <item x="2"/>
        <item x="4"/>
        <item x="55"/>
        <item x="34"/>
        <item x="33"/>
        <item x="66"/>
        <item x="28"/>
        <item x="27"/>
        <item x="14"/>
        <item x="37"/>
        <item x="99"/>
        <item x="11"/>
        <item x="31"/>
        <item x="100"/>
        <item x="22"/>
        <item x="25"/>
        <item x="77"/>
        <item x="3"/>
        <item x="7"/>
        <item x="0"/>
        <item x="45"/>
        <item x="38"/>
        <item x="64"/>
        <item x="35"/>
        <item x="51"/>
        <item x="36"/>
        <item x="96"/>
        <item x="13"/>
        <item x="21"/>
        <item x="94"/>
        <item x="41"/>
        <item x="72"/>
        <item x="67"/>
        <item x="86"/>
        <item x="68"/>
        <item x="52"/>
        <item x="9"/>
        <item x="63"/>
        <item x="65"/>
        <item x="16"/>
        <item x="75"/>
        <item x="29"/>
        <item x="69"/>
        <item x="12"/>
        <item x="71"/>
        <item x="89"/>
        <item x="104"/>
        <item x="1"/>
        <item x="70"/>
        <item x="88"/>
        <item x="32"/>
        <item x="53"/>
        <item x="87"/>
        <item x="74"/>
        <item x="92"/>
        <item x="82"/>
        <item x="39"/>
        <item x="80"/>
        <item x="84"/>
        <item x="79"/>
        <item x="17"/>
        <item x="76"/>
        <item x="54"/>
        <item x="44"/>
        <item x="60"/>
        <item x="19"/>
        <item x="40"/>
        <item x="43"/>
        <item x="47"/>
        <item x="15"/>
        <item x="30"/>
        <item x="61"/>
        <item x="20"/>
        <item x="58"/>
        <item x="24"/>
        <item x="8"/>
        <item x="59"/>
        <item x="56"/>
        <item x="46"/>
        <item x="103"/>
        <item t="default"/>
      </items>
    </pivotField>
    <pivotField showAll="0"/>
    <pivotField showAll="0">
      <items count="4">
        <item x="1"/>
        <item x="2"/>
        <item x="0"/>
        <item t="default"/>
      </items>
    </pivotField>
    <pivotField showAll="0"/>
    <pivotField showAll="0"/>
    <pivotField showAll="0"/>
    <pivotField showAll="0"/>
    <pivotField showAll="0"/>
    <pivotField showAll="0">
      <items count="5">
        <item x="1"/>
        <item x="0"/>
        <item x="2"/>
        <item x="3"/>
        <item t="default"/>
      </items>
    </pivotField>
  </pivotFields>
  <rowFields count="1">
    <field x="0"/>
  </rowFields>
  <rowItems count="11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t="grand">
      <x/>
    </i>
  </rowItems>
  <colItems count="1">
    <i/>
  </colItems>
  <dataFields count="1">
    <dataField name="Max of Current Price" fld="2" subtotal="max"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6FAB0D0-F6C7-423B-A524-B00933BACAC0}"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7" firstHeaderRow="0" firstDataRow="1" firstDataCol="1"/>
  <pivotFields count="15">
    <pivotField showAll="0"/>
    <pivotField showAll="0"/>
    <pivotField numFmtId="164" showAll="0">
      <items count="104">
        <item x="19"/>
        <item x="86"/>
        <item x="102"/>
        <item x="35"/>
        <item x="78"/>
        <item x="29"/>
        <item x="16"/>
        <item x="97"/>
        <item x="47"/>
        <item x="72"/>
        <item x="40"/>
        <item x="90"/>
        <item x="80"/>
        <item x="48"/>
        <item x="59"/>
        <item x="77"/>
        <item x="15"/>
        <item x="65"/>
        <item x="63"/>
        <item x="36"/>
        <item x="54"/>
        <item x="24"/>
        <item x="58"/>
        <item x="101"/>
        <item x="56"/>
        <item x="39"/>
        <item x="51"/>
        <item x="13"/>
        <item x="66"/>
        <item x="92"/>
        <item x="1"/>
        <item x="12"/>
        <item x="41"/>
        <item x="83"/>
        <item x="81"/>
        <item x="45"/>
        <item x="70"/>
        <item x="52"/>
        <item x="69"/>
        <item x="10"/>
        <item x="84"/>
        <item x="21"/>
        <item x="87"/>
        <item x="0"/>
        <item x="67"/>
        <item x="74"/>
        <item x="30"/>
        <item x="7"/>
        <item x="11"/>
        <item x="18"/>
        <item x="43"/>
        <item x="61"/>
        <item x="93"/>
        <item x="98"/>
        <item x="73"/>
        <item x="44"/>
        <item x="46"/>
        <item x="60"/>
        <item x="8"/>
        <item x="85"/>
        <item x="26"/>
        <item x="95"/>
        <item x="50"/>
        <item x="75"/>
        <item x="89"/>
        <item x="79"/>
        <item x="82"/>
        <item x="88"/>
        <item x="68"/>
        <item x="3"/>
        <item x="9"/>
        <item x="34"/>
        <item x="22"/>
        <item x="99"/>
        <item x="49"/>
        <item x="76"/>
        <item x="14"/>
        <item x="71"/>
        <item x="4"/>
        <item x="27"/>
        <item x="100"/>
        <item x="37"/>
        <item x="31"/>
        <item x="20"/>
        <item x="96"/>
        <item x="32"/>
        <item x="33"/>
        <item x="17"/>
        <item x="23"/>
        <item x="57"/>
        <item x="42"/>
        <item x="55"/>
        <item x="2"/>
        <item x="28"/>
        <item x="64"/>
        <item x="6"/>
        <item x="38"/>
        <item x="53"/>
        <item x="25"/>
        <item x="5"/>
        <item x="91"/>
        <item x="94"/>
        <item x="62"/>
        <item t="default"/>
      </items>
    </pivotField>
    <pivotField showAll="0"/>
    <pivotField numFmtId="164" showAll="0"/>
    <pivotField numFmtId="164" showAll="0"/>
    <pivotField dataField="1" numFmtId="10" showAll="0">
      <items count="106">
        <item x="97"/>
        <item x="42"/>
        <item x="102"/>
        <item x="78"/>
        <item x="48"/>
        <item x="101"/>
        <item x="91"/>
        <item x="50"/>
        <item x="73"/>
        <item x="93"/>
        <item x="90"/>
        <item x="5"/>
        <item x="83"/>
        <item x="57"/>
        <item x="85"/>
        <item x="81"/>
        <item x="26"/>
        <item x="18"/>
        <item x="10"/>
        <item x="95"/>
        <item x="62"/>
        <item x="49"/>
        <item x="23"/>
        <item x="6"/>
        <item x="98"/>
        <item x="2"/>
        <item x="4"/>
        <item x="55"/>
        <item x="34"/>
        <item x="33"/>
        <item x="66"/>
        <item x="28"/>
        <item x="27"/>
        <item x="14"/>
        <item x="37"/>
        <item x="99"/>
        <item x="11"/>
        <item x="31"/>
        <item x="100"/>
        <item x="22"/>
        <item x="25"/>
        <item x="77"/>
        <item x="3"/>
        <item x="7"/>
        <item x="0"/>
        <item x="45"/>
        <item x="38"/>
        <item x="64"/>
        <item x="35"/>
        <item x="51"/>
        <item x="36"/>
        <item x="96"/>
        <item x="13"/>
        <item x="21"/>
        <item x="94"/>
        <item x="41"/>
        <item x="72"/>
        <item x="67"/>
        <item x="86"/>
        <item x="68"/>
        <item x="52"/>
        <item x="9"/>
        <item x="63"/>
        <item x="65"/>
        <item x="16"/>
        <item x="75"/>
        <item x="29"/>
        <item x="69"/>
        <item x="12"/>
        <item x="71"/>
        <item x="89"/>
        <item x="104"/>
        <item x="1"/>
        <item x="70"/>
        <item x="88"/>
        <item x="32"/>
        <item x="53"/>
        <item x="87"/>
        <item x="74"/>
        <item x="92"/>
        <item x="82"/>
        <item x="39"/>
        <item x="80"/>
        <item x="84"/>
        <item x="79"/>
        <item x="17"/>
        <item x="76"/>
        <item x="54"/>
        <item x="44"/>
        <item x="60"/>
        <item x="19"/>
        <item x="40"/>
        <item x="43"/>
        <item x="47"/>
        <item x="15"/>
        <item x="30"/>
        <item x="61"/>
        <item x="20"/>
        <item x="58"/>
        <item x="24"/>
        <item x="8"/>
        <item x="59"/>
        <item x="56"/>
        <item x="46"/>
        <item x="103"/>
        <item t="default"/>
      </items>
    </pivotField>
    <pivotField showAll="0"/>
    <pivotField axis="axisRow" showAll="0">
      <items count="4">
        <item x="1"/>
        <item x="2"/>
        <item x="0"/>
        <item t="default"/>
      </items>
    </pivotField>
    <pivotField showAll="0"/>
    <pivotField showAll="0"/>
    <pivotField showAll="0"/>
    <pivotField dataField="1" showAll="0">
      <items count="24">
        <item x="22"/>
        <item x="15"/>
        <item x="19"/>
        <item x="20"/>
        <item x="13"/>
        <item x="21"/>
        <item x="17"/>
        <item x="16"/>
        <item x="18"/>
        <item x="14"/>
        <item x="9"/>
        <item x="6"/>
        <item x="5"/>
        <item x="1"/>
        <item x="7"/>
        <item x="12"/>
        <item x="11"/>
        <item x="0"/>
        <item x="2"/>
        <item x="3"/>
        <item x="4"/>
        <item x="8"/>
        <item x="10"/>
        <item t="default"/>
      </items>
    </pivotField>
    <pivotField showAll="0"/>
    <pivotField showAll="0">
      <items count="5">
        <item x="1"/>
        <item x="0"/>
        <item x="2"/>
        <item x="3"/>
        <item t="default"/>
      </items>
    </pivotField>
  </pivotFields>
  <rowFields count="1">
    <field x="8"/>
  </rowFields>
  <rowItems count="4">
    <i>
      <x/>
    </i>
    <i>
      <x v="1"/>
    </i>
    <i>
      <x v="2"/>
    </i>
    <i t="grand">
      <x/>
    </i>
  </rowItems>
  <colFields count="1">
    <field x="-2"/>
  </colFields>
  <colItems count="2">
    <i>
      <x/>
    </i>
    <i i="1">
      <x v="1"/>
    </i>
  </colItems>
  <dataFields count="2">
    <dataField name="Average of Discount(%)" fld="6" subtotal="average" baseField="8" baseItem="0" numFmtId="10"/>
    <dataField name="Average of Rating" fld="12" subtotal="average"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9A8BA8D1-B5E3-4D91-8F70-FA31A6E00E38}"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8" firstHeaderRow="1" firstDataRow="1" firstDataCol="1"/>
  <pivotFields count="15">
    <pivotField dataField="1" showAll="0">
      <items count="110">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t="default"/>
      </items>
    </pivotField>
    <pivotField showAll="0"/>
    <pivotField numFmtId="164" showAll="0">
      <items count="104">
        <item x="19"/>
        <item x="86"/>
        <item x="102"/>
        <item x="35"/>
        <item x="78"/>
        <item x="29"/>
        <item x="16"/>
        <item x="97"/>
        <item x="47"/>
        <item x="72"/>
        <item x="40"/>
        <item x="90"/>
        <item x="80"/>
        <item x="48"/>
        <item x="59"/>
        <item x="77"/>
        <item x="15"/>
        <item x="65"/>
        <item x="63"/>
        <item x="36"/>
        <item x="54"/>
        <item x="24"/>
        <item x="58"/>
        <item x="101"/>
        <item x="56"/>
        <item x="39"/>
        <item x="51"/>
        <item x="13"/>
        <item x="66"/>
        <item x="92"/>
        <item x="1"/>
        <item x="12"/>
        <item x="41"/>
        <item x="83"/>
        <item x="81"/>
        <item x="45"/>
        <item x="70"/>
        <item x="52"/>
        <item x="69"/>
        <item x="10"/>
        <item x="84"/>
        <item x="21"/>
        <item x="87"/>
        <item x="0"/>
        <item x="67"/>
        <item x="74"/>
        <item x="30"/>
        <item x="7"/>
        <item x="11"/>
        <item x="18"/>
        <item x="43"/>
        <item x="61"/>
        <item x="93"/>
        <item x="98"/>
        <item x="73"/>
        <item x="44"/>
        <item x="46"/>
        <item x="60"/>
        <item x="8"/>
        <item x="85"/>
        <item x="26"/>
        <item x="95"/>
        <item x="50"/>
        <item x="75"/>
        <item x="89"/>
        <item x="79"/>
        <item x="82"/>
        <item x="88"/>
        <item x="68"/>
        <item x="3"/>
        <item x="9"/>
        <item x="34"/>
        <item x="22"/>
        <item x="99"/>
        <item x="49"/>
        <item x="76"/>
        <item x="14"/>
        <item x="71"/>
        <item x="4"/>
        <item x="27"/>
        <item x="100"/>
        <item x="37"/>
        <item x="31"/>
        <item x="20"/>
        <item x="96"/>
        <item x="32"/>
        <item x="33"/>
        <item x="17"/>
        <item x="23"/>
        <item x="57"/>
        <item x="42"/>
        <item x="55"/>
        <item x="2"/>
        <item x="28"/>
        <item x="64"/>
        <item x="6"/>
        <item x="38"/>
        <item x="53"/>
        <item x="25"/>
        <item x="5"/>
        <item x="91"/>
        <item x="94"/>
        <item x="62"/>
        <item t="default"/>
      </items>
    </pivotField>
    <pivotField showAll="0"/>
    <pivotField numFmtId="164" showAll="0"/>
    <pivotField numFmtId="164" showAll="0"/>
    <pivotField numFmtId="10" showAll="0">
      <items count="106">
        <item x="97"/>
        <item x="42"/>
        <item x="102"/>
        <item x="78"/>
        <item x="48"/>
        <item x="101"/>
        <item x="91"/>
        <item x="50"/>
        <item x="73"/>
        <item x="93"/>
        <item x="90"/>
        <item x="5"/>
        <item x="83"/>
        <item x="57"/>
        <item x="85"/>
        <item x="81"/>
        <item x="26"/>
        <item x="18"/>
        <item x="10"/>
        <item x="95"/>
        <item x="62"/>
        <item x="49"/>
        <item x="23"/>
        <item x="6"/>
        <item x="98"/>
        <item x="2"/>
        <item x="4"/>
        <item x="55"/>
        <item x="34"/>
        <item x="33"/>
        <item x="66"/>
        <item x="28"/>
        <item x="27"/>
        <item x="14"/>
        <item x="37"/>
        <item x="99"/>
        <item x="11"/>
        <item x="31"/>
        <item x="100"/>
        <item x="22"/>
        <item x="25"/>
        <item x="77"/>
        <item x="3"/>
        <item x="7"/>
        <item x="0"/>
        <item x="45"/>
        <item x="38"/>
        <item x="64"/>
        <item x="35"/>
        <item x="51"/>
        <item x="36"/>
        <item x="96"/>
        <item x="13"/>
        <item x="21"/>
        <item x="94"/>
        <item x="41"/>
        <item x="72"/>
        <item x="67"/>
        <item x="86"/>
        <item x="68"/>
        <item x="52"/>
        <item x="9"/>
        <item x="63"/>
        <item x="65"/>
        <item x="16"/>
        <item x="75"/>
        <item x="29"/>
        <item x="69"/>
        <item x="12"/>
        <item x="71"/>
        <item x="89"/>
        <item x="104"/>
        <item x="1"/>
        <item x="70"/>
        <item x="88"/>
        <item x="32"/>
        <item x="53"/>
        <item x="87"/>
        <item x="74"/>
        <item x="92"/>
        <item x="82"/>
        <item x="39"/>
        <item x="80"/>
        <item x="84"/>
        <item x="79"/>
        <item x="17"/>
        <item x="76"/>
        <item x="54"/>
        <item x="44"/>
        <item x="60"/>
        <item x="19"/>
        <item x="40"/>
        <item x="43"/>
        <item x="47"/>
        <item x="15"/>
        <item x="30"/>
        <item x="61"/>
        <item x="20"/>
        <item x="58"/>
        <item x="24"/>
        <item x="8"/>
        <item x="59"/>
        <item x="56"/>
        <item x="46"/>
        <item x="103"/>
        <item t="default"/>
      </items>
    </pivotField>
    <pivotField showAll="0"/>
    <pivotField showAll="0">
      <items count="4">
        <item x="1"/>
        <item x="2"/>
        <item x="0"/>
        <item t="default"/>
      </items>
    </pivotField>
    <pivotField showAll="0"/>
    <pivotField showAll="0"/>
    <pivotField showAll="0"/>
    <pivotField showAll="0"/>
    <pivotField showAll="0"/>
    <pivotField axis="axisRow" showAll="0">
      <items count="5">
        <item x="1"/>
        <item x="0"/>
        <item x="2"/>
        <item x="3"/>
        <item t="default"/>
      </items>
    </pivotField>
  </pivotFields>
  <rowFields count="1">
    <field x="14"/>
  </rowFields>
  <rowItems count="5">
    <i>
      <x/>
    </i>
    <i>
      <x v="1"/>
    </i>
    <i>
      <x v="2"/>
    </i>
    <i>
      <x v="3"/>
    </i>
    <i t="grand">
      <x/>
    </i>
  </rowItems>
  <colItems count="1">
    <i/>
  </colItems>
  <dataFields count="1">
    <dataField name="Count of Product"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rrent_Price1" xr10:uid="{82510F98-3B8E-4D8D-90AD-64344121E604}" sourceName="Current Price">
  <pivotTables>
    <pivotTable tabId="21" name="PivotTable9"/>
    <pivotTable tabId="11" name="PivotTable6"/>
    <pivotTable tabId="12" name="PivotTable7"/>
    <pivotTable tabId="13" name="PivotTable8"/>
    <pivotTable tabId="14" name="PivotTable9"/>
    <pivotTable tabId="17" name="PivotTable1"/>
    <pivotTable tabId="18" name="PivotTable2"/>
    <pivotTable tabId="19" name="PivotTable3"/>
    <pivotTable tabId="19" name="PivotTable4"/>
    <pivotTable tabId="20" name="PivotTable6"/>
    <pivotTable tabId="21" name="PivotTable7"/>
    <pivotTable tabId="21" name="PivotTable8"/>
  </pivotTables>
  <data>
    <tabular pivotCacheId="1246165544">
      <items count="103">
        <i x="19" s="1"/>
        <i x="86" s="1"/>
        <i x="102" s="1"/>
        <i x="35" s="1"/>
        <i x="78" s="1"/>
        <i x="29" s="1"/>
        <i x="16" s="1"/>
        <i x="97" s="1"/>
        <i x="47" s="1"/>
        <i x="72" s="1"/>
        <i x="40" s="1"/>
        <i x="90" s="1"/>
        <i x="80" s="1"/>
        <i x="48" s="1"/>
        <i x="59" s="1"/>
        <i x="77" s="1"/>
        <i x="15" s="1"/>
        <i x="65" s="1"/>
        <i x="63" s="1"/>
        <i x="36" s="1"/>
        <i x="54" s="1"/>
        <i x="24" s="1"/>
        <i x="58" s="1"/>
        <i x="101" s="1"/>
        <i x="56" s="1"/>
        <i x="39" s="1"/>
        <i x="51" s="1"/>
        <i x="13" s="1"/>
        <i x="66" s="1"/>
        <i x="92" s="1"/>
        <i x="1" s="1"/>
        <i x="12" s="1"/>
        <i x="41" s="1"/>
        <i x="83" s="1"/>
        <i x="81" s="1"/>
        <i x="45" s="1"/>
        <i x="70" s="1"/>
        <i x="52" s="1"/>
        <i x="69" s="1"/>
        <i x="10" s="1"/>
        <i x="84" s="1"/>
        <i x="21" s="1"/>
        <i x="87" s="1"/>
        <i x="0" s="1"/>
        <i x="67" s="1"/>
        <i x="74" s="1"/>
        <i x="30" s="1"/>
        <i x="7" s="1"/>
        <i x="11" s="1"/>
        <i x="18" s="1"/>
        <i x="43" s="1"/>
        <i x="61" s="1"/>
        <i x="93" s="1"/>
        <i x="98" s="1"/>
        <i x="73" s="1"/>
        <i x="44" s="1"/>
        <i x="46" s="1"/>
        <i x="60" s="1"/>
        <i x="8" s="1"/>
        <i x="85" s="1"/>
        <i x="26" s="1"/>
        <i x="95" s="1"/>
        <i x="50" s="1"/>
        <i x="75" s="1"/>
        <i x="89" s="1"/>
        <i x="79" s="1"/>
        <i x="82" s="1"/>
        <i x="88" s="1"/>
        <i x="68" s="1"/>
        <i x="3" s="1"/>
        <i x="9" s="1"/>
        <i x="34" s="1"/>
        <i x="22" s="1"/>
        <i x="99" s="1"/>
        <i x="49" s="1"/>
        <i x="76" s="1"/>
        <i x="14" s="1"/>
        <i x="71" s="1"/>
        <i x="4" s="1"/>
        <i x="27" s="1"/>
        <i x="100" s="1"/>
        <i x="37" s="1"/>
        <i x="31" s="1"/>
        <i x="20" s="1"/>
        <i x="96" s="1"/>
        <i x="32" s="1"/>
        <i x="33" s="1"/>
        <i x="17" s="1"/>
        <i x="23" s="1"/>
        <i x="57" s="1"/>
        <i x="42" s="1"/>
        <i x="55" s="1"/>
        <i x="2" s="1"/>
        <i x="28" s="1"/>
        <i x="64" s="1"/>
        <i x="6" s="1"/>
        <i x="38" s="1"/>
        <i x="53" s="1"/>
        <i x="25" s="1"/>
        <i x="5" s="1"/>
        <i x="91" s="1"/>
        <i x="94" s="1"/>
        <i x="6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ount" xr10:uid="{232B33B1-51D8-4B46-AE48-6ADAE5BA4DB1}" sourceName="Discount(%)">
  <pivotTables>
    <pivotTable tabId="21" name="PivotTable9"/>
    <pivotTable tabId="11" name="PivotTable6"/>
    <pivotTable tabId="12" name="PivotTable7"/>
    <pivotTable tabId="13" name="PivotTable8"/>
    <pivotTable tabId="14" name="PivotTable9"/>
    <pivotTable tabId="17" name="PivotTable1"/>
    <pivotTable tabId="18" name="PivotTable2"/>
    <pivotTable tabId="19" name="PivotTable3"/>
    <pivotTable tabId="19" name="PivotTable4"/>
    <pivotTable tabId="19" name="PivotTable5"/>
    <pivotTable tabId="20" name="PivotTable6"/>
    <pivotTable tabId="21" name="PivotTable7"/>
    <pivotTable tabId="21" name="PivotTable8"/>
  </pivotTables>
  <data>
    <tabular pivotCacheId="1246165544">
      <items count="105">
        <i x="97" s="1"/>
        <i x="42" s="1"/>
        <i x="102" s="1"/>
        <i x="78" s="1"/>
        <i x="48" s="1"/>
        <i x="101" s="1"/>
        <i x="91" s="1"/>
        <i x="50" s="1"/>
        <i x="73" s="1"/>
        <i x="93" s="1"/>
        <i x="90" s="1"/>
        <i x="5" s="1"/>
        <i x="83" s="1"/>
        <i x="57" s="1"/>
        <i x="85" s="1"/>
        <i x="81" s="1"/>
        <i x="26" s="1"/>
        <i x="18" s="1"/>
        <i x="10" s="1"/>
        <i x="95" s="1"/>
        <i x="62" s="1"/>
        <i x="49" s="1"/>
        <i x="23" s="1"/>
        <i x="6" s="1"/>
        <i x="98" s="1"/>
        <i x="2" s="1"/>
        <i x="4" s="1"/>
        <i x="55" s="1"/>
        <i x="34" s="1"/>
        <i x="33" s="1"/>
        <i x="66" s="1"/>
        <i x="28" s="1"/>
        <i x="27" s="1"/>
        <i x="14" s="1"/>
        <i x="37" s="1"/>
        <i x="99" s="1"/>
        <i x="11" s="1"/>
        <i x="31" s="1"/>
        <i x="100" s="1"/>
        <i x="22" s="1"/>
        <i x="25" s="1"/>
        <i x="77" s="1"/>
        <i x="3" s="1"/>
        <i x="7" s="1"/>
        <i x="0" s="1"/>
        <i x="45" s="1"/>
        <i x="38" s="1"/>
        <i x="64" s="1"/>
        <i x="35" s="1"/>
        <i x="51" s="1"/>
        <i x="36" s="1"/>
        <i x="96" s="1"/>
        <i x="13" s="1"/>
        <i x="21" s="1"/>
        <i x="94" s="1"/>
        <i x="41" s="1"/>
        <i x="72" s="1"/>
        <i x="67" s="1"/>
        <i x="86" s="1"/>
        <i x="68" s="1"/>
        <i x="52" s="1"/>
        <i x="9" s="1"/>
        <i x="63" s="1"/>
        <i x="65" s="1"/>
        <i x="16" s="1"/>
        <i x="75" s="1"/>
        <i x="29" s="1"/>
        <i x="69" s="1"/>
        <i x="12" s="1"/>
        <i x="71" s="1"/>
        <i x="89" s="1"/>
        <i x="104" s="1"/>
        <i x="1" s="1"/>
        <i x="70" s="1"/>
        <i x="88" s="1"/>
        <i x="32" s="1"/>
        <i x="53" s="1"/>
        <i x="87" s="1"/>
        <i x="74" s="1"/>
        <i x="92" s="1"/>
        <i x="82" s="1"/>
        <i x="39" s="1"/>
        <i x="80" s="1"/>
        <i x="84" s="1"/>
        <i x="79" s="1"/>
        <i x="17" s="1"/>
        <i x="76" s="1"/>
        <i x="54" s="1"/>
        <i x="44" s="1"/>
        <i x="60" s="1"/>
        <i x="19" s="1"/>
        <i x="40" s="1"/>
        <i x="43" s="1"/>
        <i x="47" s="1"/>
        <i x="15" s="1"/>
        <i x="30" s="1"/>
        <i x="61" s="1"/>
        <i x="20" s="1"/>
        <i x="58" s="1"/>
        <i x="24" s="1"/>
        <i x="8" s="1"/>
        <i x="59" s="1"/>
        <i x="56" s="1"/>
        <i x="46" s="1"/>
        <i x="10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ount_Category" xr10:uid="{0B5D9962-DFC6-4256-A3A1-62D3FA0620A4}" sourceName="Discount Category">
  <pivotTables>
    <pivotTable tabId="21" name="PivotTable9"/>
    <pivotTable tabId="11" name="PivotTable6"/>
    <pivotTable tabId="12" name="PivotTable7"/>
    <pivotTable tabId="13" name="PivotTable8"/>
    <pivotTable tabId="14" name="PivotTable9"/>
    <pivotTable tabId="17" name="PivotTable1"/>
    <pivotTable tabId="18" name="PivotTable2"/>
    <pivotTable tabId="19" name="PivotTable3"/>
    <pivotTable tabId="19" name="PivotTable4"/>
    <pivotTable tabId="19" name="PivotTable5"/>
    <pivotTable tabId="20" name="PivotTable6"/>
    <pivotTable tabId="21" name="PivotTable7"/>
    <pivotTable tabId="21" name="PivotTable8"/>
  </pivotTables>
  <data>
    <tabular pivotCacheId="1246165544">
      <items count="3">
        <i x="1" s="1"/>
        <i x="2"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_Category" xr10:uid="{4DF1975D-1F48-41BC-AD7E-9F753A006BCD}" sourceName="Rating Category">
  <pivotTables>
    <pivotTable tabId="21" name="PivotTable9"/>
    <pivotTable tabId="11" name="PivotTable6"/>
    <pivotTable tabId="12" name="PivotTable7"/>
    <pivotTable tabId="13" name="PivotTable8"/>
    <pivotTable tabId="14" name="PivotTable9"/>
    <pivotTable tabId="17" name="PivotTable1"/>
    <pivotTable tabId="18" name="PivotTable2"/>
    <pivotTable tabId="19" name="PivotTable3"/>
    <pivotTable tabId="19" name="PivotTable4"/>
    <pivotTable tabId="19" name="PivotTable5"/>
    <pivotTable tabId="20" name="PivotTable6"/>
    <pivotTable tabId="21" name="PivotTable7"/>
    <pivotTable tabId="21" name="PivotTable8"/>
  </pivotTables>
  <data>
    <tabular pivotCacheId="1246165544">
      <items count="4">
        <i x="1" s="1"/>
        <i x="0"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rrent Price 1" xr10:uid="{624C2F96-7027-44C5-986B-0F951FEBCC83}" cache="Slicer_Current_Price1" caption="Current Price" rowHeight="257175"/>
  <slicer name="Discount(%)" xr10:uid="{3E63F7F2-AC94-496A-A636-441166D5DA10}" cache="Slicer_Discount" caption="Discount(%)" rowHeight="257175"/>
  <slicer name="Discount Category" xr10:uid="{B75DA53A-27CD-4EA8-98D1-3938EACE2876}" cache="Slicer_Discount_Category" caption="Discount Category" rowHeight="257175"/>
  <slicer name="Rating Category" xr10:uid="{E8B577E7-D847-4D6E-8AF9-9AFB9EEC6339}" cache="Slicer_Rating_Category" caption="Rating Category"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rrent Price 2" xr10:uid="{AD2595AC-E250-4343-889C-699AE961DD11}" cache="Slicer_Current_Price1" caption="Current Price" rowHeight="257175"/>
  <slicer name="Discount(%) 1" xr10:uid="{B942CB89-5CA3-47D9-B51A-2264B6A48724}" cache="Slicer_Discount" caption="Discount(%)" startItem="30" rowHeight="257175"/>
  <slicer name="Discount Category 1" xr10:uid="{FFCD870E-B475-4A64-AD03-1BEBAD6D0D5D}" cache="Slicer_Discount_Category" caption="Discount Category" rowHeight="257175"/>
  <slicer name="Rating Category 1" xr10:uid="{553E0EC1-BE39-43E2-969F-C44414F7C83A}" cache="Slicer_Rating_Category" caption="Rating Category" rowHeight="257175"/>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rrent Price" xr10:uid="{C1ACE782-FAFD-40E5-BD38-48BDD03C8AB3}" cache="Slicer_Current_Price1" caption="Current Price"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8.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9.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4.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15.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8.xml"/><Relationship Id="rId1" Type="http://schemas.openxmlformats.org/officeDocument/2006/relationships/pivotTable" Target="../pivotTables/pivotTable11.xml"/></Relationships>
</file>

<file path=xl/worksheets/_rels/sheet16.xml.rels><?xml version="1.0" encoding="UTF-8" standalone="yes"?>
<Relationships xmlns="http://schemas.openxmlformats.org/package/2006/relationships"><Relationship Id="rId1" Type="http://schemas.openxmlformats.org/officeDocument/2006/relationships/pivotTable" Target="../pivotTables/pivotTable12.xml"/></Relationships>
</file>

<file path=xl/worksheets/_rels/sheet17.xml.rels><?xml version="1.0" encoding="UTF-8" standalone="yes"?>
<Relationships xmlns="http://schemas.openxmlformats.org/package/2006/relationships"><Relationship Id="rId1" Type="http://schemas.openxmlformats.org/officeDocument/2006/relationships/pivotTable" Target="../pivotTables/pivotTable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727A43-5D2C-430D-9B9D-C1A5CF22231A}">
  <dimension ref="A1:F116"/>
  <sheetViews>
    <sheetView workbookViewId="0">
      <pane ySplit="1" topLeftCell="A92" activePane="bottomLeft" state="frozen"/>
      <selection pane="bottomLeft" activeCell="A22" sqref="A22"/>
    </sheetView>
  </sheetViews>
  <sheetFormatPr defaultRowHeight="15" x14ac:dyDescent="0.25"/>
  <cols>
    <col min="1" max="1" width="95" bestFit="1" customWidth="1"/>
    <col min="2" max="3" width="19.42578125" bestFit="1" customWidth="1"/>
    <col min="4" max="4" width="8.85546875" bestFit="1" customWidth="1"/>
    <col min="5" max="5" width="7" bestFit="1" customWidth="1"/>
    <col min="6" max="6" width="10.42578125" bestFit="1" customWidth="1"/>
  </cols>
  <sheetData>
    <row r="1" spans="1:6" s="13" customFormat="1" x14ac:dyDescent="0.25">
      <c r="A1" s="13" t="s">
        <v>0</v>
      </c>
      <c r="B1" s="13" t="s">
        <v>1</v>
      </c>
      <c r="C1" s="13" t="s">
        <v>2</v>
      </c>
      <c r="D1" s="13" t="s">
        <v>3</v>
      </c>
      <c r="E1" s="13" t="s">
        <v>4</v>
      </c>
      <c r="F1" s="13" t="s">
        <v>5</v>
      </c>
    </row>
    <row r="2" spans="1:6" x14ac:dyDescent="0.25">
      <c r="A2" t="s">
        <v>6</v>
      </c>
      <c r="B2" t="s">
        <v>7</v>
      </c>
      <c r="C2" t="s">
        <v>8</v>
      </c>
      <c r="D2" s="1">
        <v>0.38</v>
      </c>
      <c r="E2">
        <v>-2</v>
      </c>
      <c r="F2" t="s">
        <v>9</v>
      </c>
    </row>
    <row r="3" spans="1:6" x14ac:dyDescent="0.25">
      <c r="A3" t="s">
        <v>10</v>
      </c>
      <c r="B3" t="s">
        <v>11</v>
      </c>
      <c r="C3" t="s">
        <v>12</v>
      </c>
      <c r="D3" s="1">
        <v>0.47</v>
      </c>
      <c r="E3">
        <v>-14</v>
      </c>
      <c r="F3" t="s">
        <v>13</v>
      </c>
    </row>
    <row r="4" spans="1:6" x14ac:dyDescent="0.25">
      <c r="A4" t="s">
        <v>14</v>
      </c>
      <c r="B4" t="s">
        <v>15</v>
      </c>
      <c r="C4" t="s">
        <v>16</v>
      </c>
      <c r="D4" s="1">
        <v>0.25</v>
      </c>
      <c r="E4">
        <v>-24</v>
      </c>
      <c r="F4" t="s">
        <v>17</v>
      </c>
    </row>
    <row r="5" spans="1:6" x14ac:dyDescent="0.25">
      <c r="A5" t="s">
        <v>18</v>
      </c>
      <c r="B5" t="s">
        <v>19</v>
      </c>
      <c r="C5" t="s">
        <v>20</v>
      </c>
      <c r="D5" s="1">
        <v>0.37</v>
      </c>
      <c r="E5">
        <v>-7</v>
      </c>
      <c r="F5" t="s">
        <v>21</v>
      </c>
    </row>
    <row r="6" spans="1:6" x14ac:dyDescent="0.25">
      <c r="A6" t="s">
        <v>22</v>
      </c>
      <c r="B6" t="s">
        <v>23</v>
      </c>
      <c r="C6" t="s">
        <v>24</v>
      </c>
      <c r="D6" s="1">
        <v>0.26</v>
      </c>
      <c r="E6">
        <v>-5</v>
      </c>
      <c r="F6" t="s">
        <v>25</v>
      </c>
    </row>
    <row r="7" spans="1:6" x14ac:dyDescent="0.25">
      <c r="A7" t="s">
        <v>26</v>
      </c>
      <c r="B7" t="s">
        <v>27</v>
      </c>
      <c r="C7" t="s">
        <v>28</v>
      </c>
      <c r="D7" s="1">
        <v>0.09</v>
      </c>
      <c r="E7">
        <v>-15</v>
      </c>
      <c r="F7" t="s">
        <v>29</v>
      </c>
    </row>
    <row r="8" spans="1:6" x14ac:dyDescent="0.25">
      <c r="A8" t="s">
        <v>30</v>
      </c>
      <c r="B8" t="s">
        <v>31</v>
      </c>
      <c r="C8" t="s">
        <v>32</v>
      </c>
      <c r="D8" s="1">
        <v>0.24</v>
      </c>
      <c r="E8">
        <v>-55</v>
      </c>
      <c r="F8" t="s">
        <v>17</v>
      </c>
    </row>
    <row r="9" spans="1:6" x14ac:dyDescent="0.25">
      <c r="A9" t="s">
        <v>33</v>
      </c>
      <c r="B9" t="s">
        <v>34</v>
      </c>
      <c r="C9" t="s">
        <v>19</v>
      </c>
      <c r="D9" s="1">
        <v>0.37</v>
      </c>
      <c r="E9">
        <v>-2</v>
      </c>
      <c r="F9" t="s">
        <v>29</v>
      </c>
    </row>
    <row r="10" spans="1:6" x14ac:dyDescent="0.25">
      <c r="A10" t="s">
        <v>35</v>
      </c>
      <c r="B10" t="s">
        <v>36</v>
      </c>
      <c r="C10" t="s">
        <v>37</v>
      </c>
      <c r="D10" s="1">
        <v>0.55000000000000004</v>
      </c>
      <c r="E10">
        <v>-5</v>
      </c>
      <c r="F10" t="s">
        <v>25</v>
      </c>
    </row>
    <row r="11" spans="1:6" x14ac:dyDescent="0.25">
      <c r="A11" t="s">
        <v>38</v>
      </c>
      <c r="B11" t="s">
        <v>39</v>
      </c>
      <c r="C11" t="s">
        <v>40</v>
      </c>
      <c r="D11" s="1">
        <v>0.45</v>
      </c>
      <c r="E11">
        <v>-5</v>
      </c>
      <c r="F11" t="s">
        <v>41</v>
      </c>
    </row>
    <row r="12" spans="1:6" x14ac:dyDescent="0.25">
      <c r="A12" t="s">
        <v>42</v>
      </c>
      <c r="B12" t="s">
        <v>43</v>
      </c>
      <c r="C12" t="s">
        <v>12</v>
      </c>
      <c r="D12" s="1">
        <v>0.2</v>
      </c>
      <c r="E12">
        <v>-12</v>
      </c>
      <c r="F12" t="s">
        <v>13</v>
      </c>
    </row>
    <row r="13" spans="1:6" x14ac:dyDescent="0.25">
      <c r="A13" t="s">
        <v>44</v>
      </c>
      <c r="B13" t="s">
        <v>45</v>
      </c>
      <c r="C13" t="s">
        <v>46</v>
      </c>
      <c r="D13" s="1">
        <v>0.34</v>
      </c>
      <c r="E13">
        <v>-39</v>
      </c>
      <c r="F13" t="s">
        <v>21</v>
      </c>
    </row>
    <row r="14" spans="1:6" x14ac:dyDescent="0.25">
      <c r="A14" t="s">
        <v>47</v>
      </c>
      <c r="B14" t="s">
        <v>48</v>
      </c>
      <c r="C14" t="s">
        <v>49</v>
      </c>
      <c r="D14" s="1">
        <v>0.47</v>
      </c>
      <c r="E14">
        <v>-12</v>
      </c>
      <c r="F14" t="s">
        <v>25</v>
      </c>
    </row>
    <row r="15" spans="1:6" x14ac:dyDescent="0.25">
      <c r="A15" t="s">
        <v>50</v>
      </c>
      <c r="B15" t="s">
        <v>51</v>
      </c>
      <c r="C15" t="s">
        <v>52</v>
      </c>
      <c r="D15" s="1">
        <v>0.42</v>
      </c>
      <c r="E15">
        <v>-6</v>
      </c>
      <c r="F15" t="s">
        <v>9</v>
      </c>
    </row>
    <row r="16" spans="1:6" x14ac:dyDescent="0.25">
      <c r="A16" t="s">
        <v>53</v>
      </c>
      <c r="B16" t="s">
        <v>54</v>
      </c>
      <c r="C16" t="s">
        <v>20</v>
      </c>
      <c r="D16" s="1">
        <v>0.33</v>
      </c>
      <c r="E16">
        <v>-9</v>
      </c>
      <c r="F16" t="s">
        <v>55</v>
      </c>
    </row>
    <row r="17" spans="1:6" x14ac:dyDescent="0.25">
      <c r="A17" t="s">
        <v>56</v>
      </c>
      <c r="B17" t="s">
        <v>57</v>
      </c>
      <c r="C17" t="s">
        <v>58</v>
      </c>
      <c r="D17" s="1">
        <v>0.51</v>
      </c>
      <c r="E17">
        <v>-2</v>
      </c>
      <c r="F17" t="s">
        <v>59</v>
      </c>
    </row>
    <row r="18" spans="1:6" x14ac:dyDescent="0.25">
      <c r="A18" t="s">
        <v>60</v>
      </c>
      <c r="B18" t="s">
        <v>61</v>
      </c>
      <c r="C18" t="s">
        <v>62</v>
      </c>
      <c r="D18" s="1">
        <v>0.46</v>
      </c>
      <c r="E18">
        <v>-2</v>
      </c>
      <c r="F18" t="s">
        <v>59</v>
      </c>
    </row>
    <row r="19" spans="1:6" x14ac:dyDescent="0.25">
      <c r="A19" t="s">
        <v>63</v>
      </c>
      <c r="B19" t="s">
        <v>64</v>
      </c>
      <c r="C19" t="s">
        <v>65</v>
      </c>
      <c r="D19" s="1">
        <v>0.49</v>
      </c>
      <c r="E19">
        <v>-3</v>
      </c>
      <c r="F19" t="s">
        <v>59</v>
      </c>
    </row>
    <row r="20" spans="1:6" x14ac:dyDescent="0.25">
      <c r="A20" t="s">
        <v>66</v>
      </c>
      <c r="B20" t="s">
        <v>27</v>
      </c>
      <c r="C20" t="s">
        <v>67</v>
      </c>
      <c r="D20" s="1">
        <v>0.19</v>
      </c>
      <c r="E20">
        <v>-5</v>
      </c>
      <c r="F20" t="s">
        <v>17</v>
      </c>
    </row>
    <row r="21" spans="1:6" x14ac:dyDescent="0.25">
      <c r="A21" t="s">
        <v>68</v>
      </c>
      <c r="B21" t="s">
        <v>69</v>
      </c>
      <c r="C21" t="s">
        <v>70</v>
      </c>
      <c r="D21" s="1">
        <v>0.49</v>
      </c>
      <c r="E21">
        <v>-44</v>
      </c>
      <c r="F21" t="s">
        <v>17</v>
      </c>
    </row>
    <row r="22" spans="1:6" x14ac:dyDescent="0.25">
      <c r="A22" t="s">
        <v>71</v>
      </c>
      <c r="B22" t="s">
        <v>72</v>
      </c>
      <c r="C22" t="s">
        <v>73</v>
      </c>
      <c r="D22" s="1">
        <v>0.53</v>
      </c>
      <c r="E22">
        <v>-13</v>
      </c>
      <c r="F22" t="s">
        <v>74</v>
      </c>
    </row>
    <row r="23" spans="1:6" x14ac:dyDescent="0.25">
      <c r="A23" t="s">
        <v>75</v>
      </c>
      <c r="B23" t="s">
        <v>76</v>
      </c>
      <c r="C23" t="s">
        <v>77</v>
      </c>
      <c r="D23" s="1">
        <v>0.42</v>
      </c>
    </row>
    <row r="24" spans="1:6" x14ac:dyDescent="0.25">
      <c r="A24" t="s">
        <v>78</v>
      </c>
      <c r="B24" t="s">
        <v>79</v>
      </c>
      <c r="C24" t="s">
        <v>80</v>
      </c>
      <c r="D24" s="1">
        <v>0.35</v>
      </c>
      <c r="E24">
        <v>-6</v>
      </c>
      <c r="F24" t="s">
        <v>29</v>
      </c>
    </row>
    <row r="25" spans="1:6" x14ac:dyDescent="0.25">
      <c r="A25" t="s">
        <v>81</v>
      </c>
      <c r="B25" t="s">
        <v>82</v>
      </c>
      <c r="C25" t="s">
        <v>83</v>
      </c>
      <c r="D25" s="1">
        <v>0.23</v>
      </c>
      <c r="E25">
        <v>-14</v>
      </c>
      <c r="F25" t="s">
        <v>84</v>
      </c>
    </row>
    <row r="26" spans="1:6" x14ac:dyDescent="0.25">
      <c r="A26" t="s">
        <v>85</v>
      </c>
      <c r="B26" t="s">
        <v>86</v>
      </c>
      <c r="C26" t="s">
        <v>87</v>
      </c>
      <c r="D26" s="1">
        <v>0.54</v>
      </c>
      <c r="E26">
        <v>-7</v>
      </c>
      <c r="F26" t="s">
        <v>88</v>
      </c>
    </row>
    <row r="27" spans="1:6" x14ac:dyDescent="0.25">
      <c r="A27" t="s">
        <v>89</v>
      </c>
      <c r="B27" t="s">
        <v>90</v>
      </c>
      <c r="C27" t="s">
        <v>91</v>
      </c>
      <c r="D27" s="1">
        <v>0.35</v>
      </c>
      <c r="E27">
        <v>-49</v>
      </c>
      <c r="F27" t="s">
        <v>17</v>
      </c>
    </row>
    <row r="28" spans="1:6" x14ac:dyDescent="0.25">
      <c r="A28" t="s">
        <v>92</v>
      </c>
      <c r="B28" t="s">
        <v>93</v>
      </c>
      <c r="C28" t="s">
        <v>94</v>
      </c>
      <c r="D28" s="1">
        <v>0.18</v>
      </c>
      <c r="E28">
        <v>-12</v>
      </c>
      <c r="F28" t="s">
        <v>41</v>
      </c>
    </row>
    <row r="29" spans="1:6" x14ac:dyDescent="0.25">
      <c r="A29" t="s">
        <v>95</v>
      </c>
      <c r="B29" t="s">
        <v>80</v>
      </c>
      <c r="C29" t="s">
        <v>96</v>
      </c>
      <c r="D29" s="1">
        <v>0.32</v>
      </c>
      <c r="E29">
        <v>-13</v>
      </c>
      <c r="F29" t="s">
        <v>41</v>
      </c>
    </row>
    <row r="30" spans="1:6" x14ac:dyDescent="0.25">
      <c r="A30" t="s">
        <v>97</v>
      </c>
      <c r="B30" t="s">
        <v>98</v>
      </c>
      <c r="C30" t="s">
        <v>20</v>
      </c>
      <c r="D30" s="1">
        <v>0.3</v>
      </c>
      <c r="E30">
        <v>-20</v>
      </c>
      <c r="F30" t="s">
        <v>13</v>
      </c>
    </row>
    <row r="31" spans="1:6" x14ac:dyDescent="0.25">
      <c r="A31" t="s">
        <v>99</v>
      </c>
      <c r="B31" t="s">
        <v>100</v>
      </c>
      <c r="C31" t="s">
        <v>101</v>
      </c>
      <c r="D31" s="1">
        <v>0.46</v>
      </c>
    </row>
    <row r="32" spans="1:6" x14ac:dyDescent="0.25">
      <c r="A32" t="s">
        <v>102</v>
      </c>
      <c r="B32" t="s">
        <v>103</v>
      </c>
      <c r="C32" t="s">
        <v>104</v>
      </c>
      <c r="D32" s="1">
        <v>0.52</v>
      </c>
      <c r="E32">
        <v>-9</v>
      </c>
      <c r="F32" t="s">
        <v>88</v>
      </c>
    </row>
    <row r="33" spans="1:6" x14ac:dyDescent="0.25">
      <c r="A33" t="s">
        <v>105</v>
      </c>
      <c r="B33" t="s">
        <v>106</v>
      </c>
      <c r="C33" t="s">
        <v>107</v>
      </c>
      <c r="D33" s="1">
        <v>0.34</v>
      </c>
      <c r="E33">
        <v>-12</v>
      </c>
      <c r="F33" t="s">
        <v>21</v>
      </c>
    </row>
    <row r="34" spans="1:6" x14ac:dyDescent="0.25">
      <c r="A34" t="s">
        <v>108</v>
      </c>
      <c r="B34" t="s">
        <v>109</v>
      </c>
      <c r="C34" t="s">
        <v>110</v>
      </c>
      <c r="D34" s="1">
        <v>0.48</v>
      </c>
      <c r="E34">
        <v>-9</v>
      </c>
      <c r="F34" t="s">
        <v>88</v>
      </c>
    </row>
    <row r="35" spans="1:6" x14ac:dyDescent="0.25">
      <c r="A35" t="s">
        <v>111</v>
      </c>
      <c r="B35" t="s">
        <v>112</v>
      </c>
      <c r="C35" t="s">
        <v>113</v>
      </c>
      <c r="D35" s="1">
        <v>0.27</v>
      </c>
      <c r="E35">
        <v>-20</v>
      </c>
      <c r="F35" t="s">
        <v>21</v>
      </c>
    </row>
    <row r="36" spans="1:6" x14ac:dyDescent="0.25">
      <c r="A36" t="s">
        <v>114</v>
      </c>
      <c r="B36" t="s">
        <v>115</v>
      </c>
      <c r="C36" t="s">
        <v>116</v>
      </c>
      <c r="D36" s="1">
        <v>0.27</v>
      </c>
      <c r="E36">
        <v>-32</v>
      </c>
      <c r="F36" t="s">
        <v>9</v>
      </c>
    </row>
    <row r="37" spans="1:6" x14ac:dyDescent="0.25">
      <c r="A37" t="s">
        <v>117</v>
      </c>
      <c r="B37" t="s">
        <v>118</v>
      </c>
      <c r="C37" t="s">
        <v>119</v>
      </c>
      <c r="D37" s="1">
        <v>0.4</v>
      </c>
      <c r="E37">
        <v>-1</v>
      </c>
      <c r="F37" t="s">
        <v>59</v>
      </c>
    </row>
    <row r="38" spans="1:6" x14ac:dyDescent="0.25">
      <c r="A38" t="s">
        <v>120</v>
      </c>
      <c r="B38" t="s">
        <v>121</v>
      </c>
      <c r="C38" t="s">
        <v>62</v>
      </c>
      <c r="D38" s="1">
        <v>0.53</v>
      </c>
      <c r="E38">
        <v>-2</v>
      </c>
      <c r="F38" t="s">
        <v>59</v>
      </c>
    </row>
    <row r="39" spans="1:6" x14ac:dyDescent="0.25">
      <c r="A39" t="s">
        <v>122</v>
      </c>
      <c r="B39" t="s">
        <v>123</v>
      </c>
      <c r="C39" t="s">
        <v>124</v>
      </c>
      <c r="D39" s="1">
        <v>0.41</v>
      </c>
      <c r="E39">
        <v>-36</v>
      </c>
      <c r="F39" t="s">
        <v>88</v>
      </c>
    </row>
    <row r="40" spans="1:6" x14ac:dyDescent="0.25">
      <c r="A40" t="s">
        <v>125</v>
      </c>
      <c r="B40" t="s">
        <v>126</v>
      </c>
      <c r="C40" t="s">
        <v>127</v>
      </c>
      <c r="D40" s="1">
        <v>0.38</v>
      </c>
      <c r="E40">
        <v>-2</v>
      </c>
      <c r="F40" t="s">
        <v>9</v>
      </c>
    </row>
    <row r="41" spans="1:6" x14ac:dyDescent="0.25">
      <c r="A41" t="s">
        <v>128</v>
      </c>
      <c r="B41" t="s">
        <v>129</v>
      </c>
      <c r="C41" t="s">
        <v>130</v>
      </c>
      <c r="D41" s="1">
        <v>0.38</v>
      </c>
    </row>
    <row r="42" spans="1:6" x14ac:dyDescent="0.25">
      <c r="A42" t="s">
        <v>131</v>
      </c>
      <c r="B42" t="s">
        <v>132</v>
      </c>
      <c r="C42" t="s">
        <v>133</v>
      </c>
      <c r="D42" s="1">
        <v>0.49</v>
      </c>
    </row>
    <row r="43" spans="1:6" x14ac:dyDescent="0.25">
      <c r="A43" t="s">
        <v>134</v>
      </c>
      <c r="B43" t="s">
        <v>135</v>
      </c>
      <c r="C43" t="s">
        <v>136</v>
      </c>
      <c r="D43" s="1">
        <v>0.5</v>
      </c>
    </row>
    <row r="44" spans="1:6" x14ac:dyDescent="0.25">
      <c r="A44" t="s">
        <v>137</v>
      </c>
      <c r="B44" t="s">
        <v>138</v>
      </c>
      <c r="C44" t="s">
        <v>139</v>
      </c>
      <c r="D44" s="1">
        <v>0.42</v>
      </c>
    </row>
    <row r="45" spans="1:6" x14ac:dyDescent="0.25">
      <c r="A45" t="s">
        <v>137</v>
      </c>
      <c r="B45" t="s">
        <v>138</v>
      </c>
      <c r="C45" t="s">
        <v>139</v>
      </c>
      <c r="D45" s="1">
        <v>0.42</v>
      </c>
    </row>
    <row r="46" spans="1:6" x14ac:dyDescent="0.25">
      <c r="A46" t="s">
        <v>140</v>
      </c>
      <c r="B46" t="s">
        <v>141</v>
      </c>
      <c r="C46" t="s">
        <v>142</v>
      </c>
      <c r="D46" s="1">
        <v>0.02</v>
      </c>
    </row>
    <row r="47" spans="1:6" x14ac:dyDescent="0.25">
      <c r="A47" t="s">
        <v>143</v>
      </c>
      <c r="B47" t="s">
        <v>12</v>
      </c>
      <c r="C47" t="s">
        <v>144</v>
      </c>
      <c r="D47" s="1">
        <v>0.5</v>
      </c>
    </row>
    <row r="48" spans="1:6" x14ac:dyDescent="0.25">
      <c r="A48" t="s">
        <v>145</v>
      </c>
      <c r="B48" t="s">
        <v>146</v>
      </c>
      <c r="C48" t="s">
        <v>147</v>
      </c>
      <c r="D48" s="1">
        <v>0.33</v>
      </c>
    </row>
    <row r="49" spans="1:6" x14ac:dyDescent="0.25">
      <c r="A49" t="s">
        <v>148</v>
      </c>
      <c r="B49" t="s">
        <v>149</v>
      </c>
      <c r="C49" t="s">
        <v>150</v>
      </c>
      <c r="D49" s="1">
        <v>0.49</v>
      </c>
    </row>
    <row r="50" spans="1:6" x14ac:dyDescent="0.25">
      <c r="A50" t="s">
        <v>151</v>
      </c>
      <c r="B50" t="s">
        <v>152</v>
      </c>
      <c r="C50" t="s">
        <v>153</v>
      </c>
      <c r="D50" s="1">
        <v>0.38</v>
      </c>
    </row>
    <row r="51" spans="1:6" x14ac:dyDescent="0.25">
      <c r="A51" t="s">
        <v>154</v>
      </c>
      <c r="B51" t="s">
        <v>155</v>
      </c>
      <c r="C51" t="s">
        <v>156</v>
      </c>
      <c r="D51" s="1">
        <v>0.61</v>
      </c>
    </row>
    <row r="52" spans="1:6" x14ac:dyDescent="0.25">
      <c r="A52" t="s">
        <v>157</v>
      </c>
      <c r="B52" t="s">
        <v>158</v>
      </c>
      <c r="C52" t="s">
        <v>159</v>
      </c>
      <c r="D52" s="1">
        <v>0.5</v>
      </c>
    </row>
    <row r="53" spans="1:6" x14ac:dyDescent="0.25">
      <c r="A53" t="s">
        <v>160</v>
      </c>
      <c r="B53" t="s">
        <v>161</v>
      </c>
      <c r="C53" t="s">
        <v>162</v>
      </c>
      <c r="D53" s="1">
        <v>0.02</v>
      </c>
    </row>
    <row r="54" spans="1:6" x14ac:dyDescent="0.25">
      <c r="A54" t="s">
        <v>163</v>
      </c>
      <c r="B54" t="s">
        <v>158</v>
      </c>
      <c r="C54" t="s">
        <v>164</v>
      </c>
      <c r="D54" s="1">
        <v>0.22</v>
      </c>
    </row>
    <row r="55" spans="1:6" x14ac:dyDescent="0.25">
      <c r="A55" t="s">
        <v>165</v>
      </c>
      <c r="B55" t="s">
        <v>166</v>
      </c>
      <c r="C55" t="s">
        <v>167</v>
      </c>
      <c r="D55" s="1">
        <v>0.03</v>
      </c>
    </row>
    <row r="56" spans="1:6" x14ac:dyDescent="0.25">
      <c r="A56" t="s">
        <v>168</v>
      </c>
      <c r="B56" t="s">
        <v>43</v>
      </c>
      <c r="C56" t="s">
        <v>169</v>
      </c>
      <c r="D56" s="1">
        <v>0.41</v>
      </c>
    </row>
    <row r="57" spans="1:6" x14ac:dyDescent="0.25">
      <c r="A57" t="s">
        <v>170</v>
      </c>
      <c r="B57" t="s">
        <v>171</v>
      </c>
      <c r="C57" t="s">
        <v>172</v>
      </c>
      <c r="D57" s="1">
        <v>0.45</v>
      </c>
    </row>
    <row r="58" spans="1:6" x14ac:dyDescent="0.25">
      <c r="A58" t="s">
        <v>173</v>
      </c>
      <c r="B58" t="s">
        <v>174</v>
      </c>
      <c r="C58" t="s">
        <v>169</v>
      </c>
      <c r="D58" s="1">
        <v>0.48</v>
      </c>
    </row>
    <row r="59" spans="1:6" x14ac:dyDescent="0.25">
      <c r="A59" t="s">
        <v>175</v>
      </c>
      <c r="B59" t="s">
        <v>43</v>
      </c>
      <c r="C59" t="s">
        <v>176</v>
      </c>
      <c r="D59" s="1">
        <v>0.49</v>
      </c>
    </row>
    <row r="60" spans="1:6" x14ac:dyDescent="0.25">
      <c r="A60" t="s">
        <v>177</v>
      </c>
      <c r="B60" t="s">
        <v>178</v>
      </c>
      <c r="C60" t="s">
        <v>179</v>
      </c>
      <c r="D60" s="1">
        <v>0.27</v>
      </c>
    </row>
    <row r="61" spans="1:6" x14ac:dyDescent="0.25">
      <c r="A61" t="s">
        <v>170</v>
      </c>
      <c r="B61" t="s">
        <v>180</v>
      </c>
      <c r="C61" t="s">
        <v>181</v>
      </c>
      <c r="D61" s="1">
        <v>0.55000000000000004</v>
      </c>
    </row>
    <row r="62" spans="1:6" x14ac:dyDescent="0.25">
      <c r="A62" t="s">
        <v>182</v>
      </c>
      <c r="B62" t="s">
        <v>183</v>
      </c>
      <c r="C62" t="s">
        <v>184</v>
      </c>
      <c r="D62" s="1">
        <v>0.13</v>
      </c>
      <c r="E62">
        <v>-6</v>
      </c>
      <c r="F62" t="s">
        <v>185</v>
      </c>
    </row>
    <row r="63" spans="1:6" x14ac:dyDescent="0.25">
      <c r="A63" t="s">
        <v>186</v>
      </c>
      <c r="B63" t="s">
        <v>187</v>
      </c>
      <c r="C63" t="s">
        <v>188</v>
      </c>
      <c r="D63" s="1">
        <v>0.54</v>
      </c>
      <c r="E63">
        <v>-10</v>
      </c>
      <c r="F63" t="s">
        <v>189</v>
      </c>
    </row>
    <row r="64" spans="1:6" x14ac:dyDescent="0.25">
      <c r="A64" t="s">
        <v>190</v>
      </c>
      <c r="B64" t="s">
        <v>191</v>
      </c>
      <c r="C64" t="s">
        <v>192</v>
      </c>
      <c r="D64" s="1">
        <v>0.55000000000000004</v>
      </c>
      <c r="E64">
        <v>-13</v>
      </c>
      <c r="F64" t="s">
        <v>193</v>
      </c>
    </row>
    <row r="65" spans="1:6" x14ac:dyDescent="0.25">
      <c r="A65" t="s">
        <v>194</v>
      </c>
      <c r="B65" t="s">
        <v>195</v>
      </c>
      <c r="C65" t="s">
        <v>196</v>
      </c>
      <c r="D65" s="1">
        <v>0.49</v>
      </c>
      <c r="E65">
        <v>-69</v>
      </c>
      <c r="F65" t="s">
        <v>197</v>
      </c>
    </row>
    <row r="66" spans="1:6" x14ac:dyDescent="0.25">
      <c r="A66" t="s">
        <v>198</v>
      </c>
      <c r="B66" t="s">
        <v>199</v>
      </c>
      <c r="C66" t="s">
        <v>200</v>
      </c>
      <c r="D66" s="1">
        <v>0.52</v>
      </c>
      <c r="E66">
        <v>-15</v>
      </c>
      <c r="F66" t="s">
        <v>201</v>
      </c>
    </row>
    <row r="67" spans="1:6" x14ac:dyDescent="0.25">
      <c r="A67" t="s">
        <v>202</v>
      </c>
      <c r="B67" t="s">
        <v>203</v>
      </c>
      <c r="C67" t="s">
        <v>204</v>
      </c>
      <c r="D67" s="1">
        <v>0.22</v>
      </c>
      <c r="E67">
        <v>-16</v>
      </c>
      <c r="F67" t="s">
        <v>205</v>
      </c>
    </row>
    <row r="68" spans="1:6" x14ac:dyDescent="0.25">
      <c r="A68" t="s">
        <v>206</v>
      </c>
      <c r="B68" t="s">
        <v>45</v>
      </c>
      <c r="C68" t="s">
        <v>207</v>
      </c>
      <c r="D68" s="1">
        <v>0.45</v>
      </c>
      <c r="E68">
        <v>-6</v>
      </c>
      <c r="F68" t="s">
        <v>208</v>
      </c>
    </row>
    <row r="69" spans="1:6" x14ac:dyDescent="0.25">
      <c r="A69" t="s">
        <v>209</v>
      </c>
      <c r="B69" t="s">
        <v>210</v>
      </c>
      <c r="C69" t="s">
        <v>144</v>
      </c>
      <c r="D69" s="1">
        <v>0.5</v>
      </c>
      <c r="E69">
        <v>-7</v>
      </c>
      <c r="F69" t="s">
        <v>211</v>
      </c>
    </row>
    <row r="70" spans="1:6" x14ac:dyDescent="0.25">
      <c r="A70" t="s">
        <v>212</v>
      </c>
      <c r="B70" t="s">
        <v>213</v>
      </c>
      <c r="C70" t="s">
        <v>214</v>
      </c>
      <c r="D70" s="1">
        <v>0.39</v>
      </c>
      <c r="E70">
        <v>-5</v>
      </c>
      <c r="F70" t="s">
        <v>189</v>
      </c>
    </row>
    <row r="71" spans="1:6" x14ac:dyDescent="0.25">
      <c r="A71" t="s">
        <v>215</v>
      </c>
      <c r="B71" t="s">
        <v>104</v>
      </c>
      <c r="C71" t="s">
        <v>216</v>
      </c>
      <c r="D71" s="1">
        <v>0.45</v>
      </c>
      <c r="E71">
        <v>-17</v>
      </c>
      <c r="F71" t="s">
        <v>217</v>
      </c>
    </row>
    <row r="72" spans="1:6" x14ac:dyDescent="0.25">
      <c r="A72" t="s">
        <v>218</v>
      </c>
      <c r="B72" t="s">
        <v>219</v>
      </c>
      <c r="C72" t="s">
        <v>220</v>
      </c>
      <c r="D72" s="1">
        <v>0.28999999999999998</v>
      </c>
      <c r="E72">
        <v>-5</v>
      </c>
      <c r="F72" t="s">
        <v>189</v>
      </c>
    </row>
    <row r="73" spans="1:6" x14ac:dyDescent="0.25">
      <c r="A73" t="s">
        <v>221</v>
      </c>
      <c r="B73" t="s">
        <v>222</v>
      </c>
      <c r="C73" t="s">
        <v>223</v>
      </c>
      <c r="D73" s="1">
        <v>0.43</v>
      </c>
      <c r="E73">
        <v>-6</v>
      </c>
      <c r="F73" t="s">
        <v>211</v>
      </c>
    </row>
    <row r="74" spans="1:6" x14ac:dyDescent="0.25">
      <c r="A74" t="s">
        <v>224</v>
      </c>
      <c r="B74" t="s">
        <v>225</v>
      </c>
      <c r="C74" t="s">
        <v>226</v>
      </c>
      <c r="D74" s="1">
        <v>0.43</v>
      </c>
      <c r="E74">
        <v>-5</v>
      </c>
      <c r="F74" t="s">
        <v>189</v>
      </c>
    </row>
    <row r="75" spans="1:6" x14ac:dyDescent="0.25">
      <c r="A75" t="s">
        <v>227</v>
      </c>
      <c r="B75" t="s">
        <v>228</v>
      </c>
      <c r="C75" t="s">
        <v>207</v>
      </c>
      <c r="D75" s="1">
        <v>0.47</v>
      </c>
      <c r="E75">
        <v>-6</v>
      </c>
      <c r="F75" t="s">
        <v>208</v>
      </c>
    </row>
    <row r="76" spans="1:6" x14ac:dyDescent="0.25">
      <c r="A76" t="s">
        <v>229</v>
      </c>
      <c r="B76" t="s">
        <v>230</v>
      </c>
      <c r="C76" t="s">
        <v>231</v>
      </c>
      <c r="D76" s="1">
        <v>0.47</v>
      </c>
      <c r="E76">
        <v>-7</v>
      </c>
      <c r="F76" t="s">
        <v>193</v>
      </c>
    </row>
    <row r="77" spans="1:6" x14ac:dyDescent="0.25">
      <c r="A77" t="s">
        <v>232</v>
      </c>
      <c r="B77" t="s">
        <v>233</v>
      </c>
      <c r="C77" t="s">
        <v>234</v>
      </c>
      <c r="D77" s="1">
        <v>0.47</v>
      </c>
    </row>
    <row r="78" spans="1:6" x14ac:dyDescent="0.25">
      <c r="A78" t="s">
        <v>235</v>
      </c>
      <c r="B78" t="s">
        <v>236</v>
      </c>
      <c r="C78" t="s">
        <v>152</v>
      </c>
      <c r="D78" s="1">
        <v>0.43</v>
      </c>
    </row>
    <row r="79" spans="1:6" x14ac:dyDescent="0.25">
      <c r="A79" t="s">
        <v>237</v>
      </c>
      <c r="B79" t="s">
        <v>238</v>
      </c>
      <c r="C79" t="s">
        <v>239</v>
      </c>
      <c r="D79" s="1">
        <v>0.04</v>
      </c>
    </row>
    <row r="80" spans="1:6" x14ac:dyDescent="0.25">
      <c r="A80" t="s">
        <v>240</v>
      </c>
      <c r="B80" t="s">
        <v>241</v>
      </c>
      <c r="C80" t="s">
        <v>242</v>
      </c>
      <c r="D80" s="1">
        <v>0.49</v>
      </c>
    </row>
    <row r="81" spans="1:6" x14ac:dyDescent="0.25">
      <c r="A81" t="s">
        <v>243</v>
      </c>
      <c r="B81" t="s">
        <v>244</v>
      </c>
      <c r="C81" t="s">
        <v>15</v>
      </c>
      <c r="D81" s="1">
        <v>0.46</v>
      </c>
      <c r="E81">
        <v>-1</v>
      </c>
      <c r="F81" t="s">
        <v>189</v>
      </c>
    </row>
    <row r="82" spans="1:6" x14ac:dyDescent="0.25">
      <c r="A82" t="s">
        <v>245</v>
      </c>
      <c r="B82" t="s">
        <v>246</v>
      </c>
      <c r="C82" t="s">
        <v>247</v>
      </c>
      <c r="D82" s="1">
        <v>0.49</v>
      </c>
      <c r="E82">
        <v>-1</v>
      </c>
      <c r="F82" t="s">
        <v>59</v>
      </c>
    </row>
    <row r="83" spans="1:6" x14ac:dyDescent="0.25">
      <c r="A83" t="s">
        <v>248</v>
      </c>
      <c r="B83" t="s">
        <v>249</v>
      </c>
      <c r="C83" t="s">
        <v>250</v>
      </c>
      <c r="D83" s="1">
        <v>0.36</v>
      </c>
    </row>
    <row r="84" spans="1:6" x14ac:dyDescent="0.25">
      <c r="A84" t="s">
        <v>251</v>
      </c>
      <c r="B84" t="s">
        <v>252</v>
      </c>
      <c r="C84" t="s">
        <v>162</v>
      </c>
      <c r="D84" s="1">
        <v>0.02</v>
      </c>
    </row>
    <row r="85" spans="1:6" x14ac:dyDescent="0.25">
      <c r="A85" t="s">
        <v>253</v>
      </c>
      <c r="B85" t="s">
        <v>254</v>
      </c>
      <c r="C85" t="s">
        <v>91</v>
      </c>
      <c r="D85" s="1">
        <v>0.49</v>
      </c>
      <c r="E85">
        <v>-1</v>
      </c>
      <c r="F85" t="s">
        <v>29</v>
      </c>
    </row>
    <row r="86" spans="1:6" x14ac:dyDescent="0.25">
      <c r="A86" t="s">
        <v>137</v>
      </c>
      <c r="B86" t="s">
        <v>138</v>
      </c>
      <c r="C86" t="s">
        <v>139</v>
      </c>
      <c r="D86" s="1">
        <v>0.42</v>
      </c>
    </row>
    <row r="87" spans="1:6" x14ac:dyDescent="0.25">
      <c r="A87" t="s">
        <v>154</v>
      </c>
      <c r="B87" t="s">
        <v>255</v>
      </c>
      <c r="C87" t="s">
        <v>222</v>
      </c>
      <c r="D87" s="1">
        <v>0.49</v>
      </c>
    </row>
    <row r="88" spans="1:6" x14ac:dyDescent="0.25">
      <c r="A88" t="s">
        <v>256</v>
      </c>
      <c r="B88" t="s">
        <v>257</v>
      </c>
      <c r="C88" t="s">
        <v>162</v>
      </c>
      <c r="D88" s="1">
        <v>0.14000000000000001</v>
      </c>
    </row>
    <row r="89" spans="1:6" x14ac:dyDescent="0.25">
      <c r="A89" t="s">
        <v>258</v>
      </c>
      <c r="B89" t="s">
        <v>259</v>
      </c>
      <c r="C89" t="s">
        <v>260</v>
      </c>
      <c r="D89" s="1">
        <v>0.49</v>
      </c>
    </row>
    <row r="90" spans="1:6" x14ac:dyDescent="0.25">
      <c r="A90" t="s">
        <v>261</v>
      </c>
      <c r="B90" t="s">
        <v>43</v>
      </c>
      <c r="C90" t="s">
        <v>172</v>
      </c>
      <c r="D90" s="1">
        <v>0.11</v>
      </c>
    </row>
    <row r="91" spans="1:6" x14ac:dyDescent="0.25">
      <c r="A91" t="s">
        <v>175</v>
      </c>
      <c r="B91" t="s">
        <v>262</v>
      </c>
      <c r="C91" t="s">
        <v>263</v>
      </c>
      <c r="D91" s="1">
        <v>0.49</v>
      </c>
    </row>
    <row r="92" spans="1:6" x14ac:dyDescent="0.25">
      <c r="A92" t="s">
        <v>264</v>
      </c>
      <c r="B92" t="s">
        <v>265</v>
      </c>
      <c r="C92" t="s">
        <v>162</v>
      </c>
      <c r="D92" s="1">
        <v>0.14000000000000001</v>
      </c>
    </row>
    <row r="93" spans="1:6" x14ac:dyDescent="0.25">
      <c r="A93" t="s">
        <v>266</v>
      </c>
      <c r="B93" t="s">
        <v>267</v>
      </c>
      <c r="C93" t="s">
        <v>268</v>
      </c>
      <c r="D93" s="1">
        <v>0.43</v>
      </c>
    </row>
    <row r="94" spans="1:6" x14ac:dyDescent="0.25">
      <c r="A94" t="s">
        <v>269</v>
      </c>
      <c r="B94" t="s">
        <v>270</v>
      </c>
      <c r="C94" t="s">
        <v>271</v>
      </c>
      <c r="D94" s="1">
        <v>0.5</v>
      </c>
    </row>
    <row r="95" spans="1:6" x14ac:dyDescent="0.25">
      <c r="A95" t="s">
        <v>272</v>
      </c>
      <c r="B95" t="s">
        <v>273</v>
      </c>
      <c r="C95" t="s">
        <v>184</v>
      </c>
      <c r="D95" s="1">
        <v>0.48</v>
      </c>
    </row>
    <row r="96" spans="1:6" x14ac:dyDescent="0.25">
      <c r="A96" t="s">
        <v>274</v>
      </c>
      <c r="B96" t="s">
        <v>275</v>
      </c>
      <c r="C96" t="s">
        <v>276</v>
      </c>
      <c r="D96" s="1">
        <v>0.48</v>
      </c>
    </row>
    <row r="97" spans="1:6" x14ac:dyDescent="0.25">
      <c r="A97" t="s">
        <v>277</v>
      </c>
      <c r="B97" t="s">
        <v>226</v>
      </c>
      <c r="C97" t="s">
        <v>162</v>
      </c>
      <c r="D97" s="1">
        <v>0.47</v>
      </c>
    </row>
    <row r="98" spans="1:6" x14ac:dyDescent="0.25">
      <c r="A98" t="s">
        <v>277</v>
      </c>
      <c r="B98" t="s">
        <v>226</v>
      </c>
      <c r="C98" t="s">
        <v>162</v>
      </c>
      <c r="D98" s="1">
        <v>0.47</v>
      </c>
    </row>
    <row r="99" spans="1:6" x14ac:dyDescent="0.25">
      <c r="A99" t="s">
        <v>278</v>
      </c>
      <c r="B99" t="s">
        <v>152</v>
      </c>
      <c r="C99" t="s">
        <v>279</v>
      </c>
      <c r="D99" s="1">
        <v>0.5</v>
      </c>
    </row>
    <row r="100" spans="1:6" x14ac:dyDescent="0.25">
      <c r="A100" t="s">
        <v>280</v>
      </c>
      <c r="B100" t="s">
        <v>281</v>
      </c>
      <c r="C100" t="s">
        <v>161</v>
      </c>
      <c r="D100" s="1">
        <v>0.08</v>
      </c>
    </row>
    <row r="101" spans="1:6" x14ac:dyDescent="0.25">
      <c r="A101" t="s">
        <v>282</v>
      </c>
      <c r="B101" t="s">
        <v>283</v>
      </c>
      <c r="C101" t="s">
        <v>167</v>
      </c>
      <c r="D101" s="1">
        <v>0.02</v>
      </c>
    </row>
    <row r="102" spans="1:6" x14ac:dyDescent="0.25">
      <c r="A102" t="s">
        <v>284</v>
      </c>
      <c r="B102" t="s">
        <v>285</v>
      </c>
      <c r="C102" t="s">
        <v>286</v>
      </c>
      <c r="D102" s="1">
        <v>0.49</v>
      </c>
    </row>
    <row r="103" spans="1:6" x14ac:dyDescent="0.25">
      <c r="A103" t="s">
        <v>287</v>
      </c>
      <c r="B103" t="s">
        <v>288</v>
      </c>
      <c r="C103" t="s">
        <v>67</v>
      </c>
      <c r="D103" s="1">
        <v>0.04</v>
      </c>
    </row>
    <row r="104" spans="1:6" x14ac:dyDescent="0.25">
      <c r="A104" t="s">
        <v>289</v>
      </c>
      <c r="B104" t="s">
        <v>290</v>
      </c>
      <c r="C104" t="s">
        <v>291</v>
      </c>
      <c r="D104" s="1">
        <v>0.49</v>
      </c>
    </row>
    <row r="105" spans="1:6" x14ac:dyDescent="0.25">
      <c r="A105" t="s">
        <v>292</v>
      </c>
      <c r="B105" t="s">
        <v>293</v>
      </c>
      <c r="C105" t="s">
        <v>294</v>
      </c>
      <c r="D105" s="1">
        <v>0.42</v>
      </c>
    </row>
    <row r="106" spans="1:6" x14ac:dyDescent="0.25">
      <c r="A106" t="s">
        <v>295</v>
      </c>
      <c r="B106" t="s">
        <v>296</v>
      </c>
      <c r="C106" t="s">
        <v>297</v>
      </c>
      <c r="D106" s="1">
        <v>0.21</v>
      </c>
      <c r="E106">
        <v>-1</v>
      </c>
      <c r="F106" t="s">
        <v>59</v>
      </c>
    </row>
    <row r="107" spans="1:6" x14ac:dyDescent="0.25">
      <c r="A107" t="s">
        <v>298</v>
      </c>
      <c r="B107" t="s">
        <v>299</v>
      </c>
      <c r="C107" t="s">
        <v>300</v>
      </c>
      <c r="D107" s="1">
        <v>0.41</v>
      </c>
    </row>
    <row r="108" spans="1:6" x14ac:dyDescent="0.25">
      <c r="A108" t="s">
        <v>301</v>
      </c>
      <c r="B108" t="s">
        <v>302</v>
      </c>
      <c r="C108" t="s">
        <v>303</v>
      </c>
      <c r="D108" s="1">
        <v>0.01</v>
      </c>
    </row>
    <row r="109" spans="1:6" x14ac:dyDescent="0.25">
      <c r="A109" t="s">
        <v>304</v>
      </c>
      <c r="B109" t="s">
        <v>305</v>
      </c>
      <c r="C109" t="s">
        <v>306</v>
      </c>
      <c r="D109" s="1">
        <v>0.24</v>
      </c>
    </row>
    <row r="110" spans="1:6" x14ac:dyDescent="0.25">
      <c r="A110" t="s">
        <v>307</v>
      </c>
      <c r="B110" t="s">
        <v>308</v>
      </c>
      <c r="C110" t="s">
        <v>309</v>
      </c>
      <c r="D110" s="1">
        <v>0.34</v>
      </c>
    </row>
    <row r="111" spans="1:6" x14ac:dyDescent="0.25">
      <c r="A111" t="s">
        <v>310</v>
      </c>
      <c r="B111" t="s">
        <v>146</v>
      </c>
      <c r="C111" t="s">
        <v>311</v>
      </c>
      <c r="D111" s="1">
        <v>0.34</v>
      </c>
    </row>
    <row r="112" spans="1:6" x14ac:dyDescent="0.25">
      <c r="A112" t="s">
        <v>312</v>
      </c>
      <c r="B112" t="s">
        <v>313</v>
      </c>
      <c r="C112" t="s">
        <v>162</v>
      </c>
      <c r="D112" s="1">
        <v>0.02</v>
      </c>
    </row>
    <row r="113" spans="1:6" x14ac:dyDescent="0.25">
      <c r="A113" t="s">
        <v>314</v>
      </c>
      <c r="B113" t="s">
        <v>315</v>
      </c>
      <c r="C113" t="s">
        <v>239</v>
      </c>
      <c r="D113" s="1">
        <v>0.02</v>
      </c>
    </row>
    <row r="114" spans="1:6" x14ac:dyDescent="0.25">
      <c r="A114" t="s">
        <v>316</v>
      </c>
      <c r="B114" t="s">
        <v>155</v>
      </c>
      <c r="C114" t="s">
        <v>317</v>
      </c>
      <c r="D114" s="1">
        <v>0.64</v>
      </c>
    </row>
    <row r="115" spans="1:6" x14ac:dyDescent="0.25">
      <c r="A115" t="s">
        <v>318</v>
      </c>
      <c r="B115" t="s">
        <v>242</v>
      </c>
      <c r="C115" t="s">
        <v>172</v>
      </c>
      <c r="D115" s="1">
        <v>0.5</v>
      </c>
      <c r="E115">
        <v>-1</v>
      </c>
      <c r="F115" t="s">
        <v>319</v>
      </c>
    </row>
    <row r="116" spans="1:6" x14ac:dyDescent="0.25">
      <c r="A116" t="s">
        <v>320</v>
      </c>
      <c r="B116" t="s">
        <v>321</v>
      </c>
      <c r="C116" t="s">
        <v>322</v>
      </c>
      <c r="D116" s="1">
        <v>0.47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7533FE-7135-4A2C-9984-44EA6F746AC1}">
  <dimension ref="A1:F116"/>
  <sheetViews>
    <sheetView workbookViewId="0">
      <pane ySplit="1" topLeftCell="A101" activePane="bottomLeft" state="frozen"/>
      <selection pane="bottomLeft" sqref="A1:XFD1"/>
    </sheetView>
  </sheetViews>
  <sheetFormatPr defaultRowHeight="15" x14ac:dyDescent="0.25"/>
  <cols>
    <col min="1" max="1" width="95" bestFit="1" customWidth="1"/>
    <col min="2" max="3" width="19.42578125" bestFit="1" customWidth="1"/>
    <col min="4" max="4" width="8.85546875" bestFit="1" customWidth="1"/>
    <col min="5" max="5" width="7" bestFit="1" customWidth="1"/>
    <col min="6" max="6" width="10.42578125" bestFit="1" customWidth="1"/>
  </cols>
  <sheetData>
    <row r="1" spans="1:6" s="13" customFormat="1" x14ac:dyDescent="0.25">
      <c r="A1" s="13" t="s">
        <v>0</v>
      </c>
      <c r="B1" s="13" t="s">
        <v>1</v>
      </c>
      <c r="C1" s="13" t="s">
        <v>2</v>
      </c>
      <c r="D1" s="13" t="s">
        <v>3</v>
      </c>
      <c r="E1" s="13" t="s">
        <v>4</v>
      </c>
      <c r="F1" s="13" t="s">
        <v>5</v>
      </c>
    </row>
    <row r="2" spans="1:6" x14ac:dyDescent="0.25">
      <c r="A2" t="s">
        <v>6</v>
      </c>
      <c r="B2" t="s">
        <v>7</v>
      </c>
      <c r="C2" t="s">
        <v>8</v>
      </c>
      <c r="D2" s="1">
        <v>0.38</v>
      </c>
      <c r="E2">
        <v>-2</v>
      </c>
      <c r="F2" t="s">
        <v>9</v>
      </c>
    </row>
    <row r="3" spans="1:6" x14ac:dyDescent="0.25">
      <c r="A3" t="s">
        <v>10</v>
      </c>
      <c r="B3" t="s">
        <v>11</v>
      </c>
      <c r="C3" t="s">
        <v>12</v>
      </c>
      <c r="D3" s="1">
        <v>0.47</v>
      </c>
      <c r="E3">
        <v>-14</v>
      </c>
      <c r="F3" t="s">
        <v>13</v>
      </c>
    </row>
    <row r="4" spans="1:6" x14ac:dyDescent="0.25">
      <c r="A4" t="s">
        <v>14</v>
      </c>
      <c r="B4" t="s">
        <v>15</v>
      </c>
      <c r="C4" t="s">
        <v>16</v>
      </c>
      <c r="D4" s="1">
        <v>0.25</v>
      </c>
      <c r="E4">
        <v>-24</v>
      </c>
      <c r="F4" t="s">
        <v>17</v>
      </c>
    </row>
    <row r="5" spans="1:6" x14ac:dyDescent="0.25">
      <c r="A5" t="s">
        <v>18</v>
      </c>
      <c r="B5" t="s">
        <v>19</v>
      </c>
      <c r="C5" t="s">
        <v>20</v>
      </c>
      <c r="D5" s="1">
        <v>0.37</v>
      </c>
      <c r="E5">
        <v>-7</v>
      </c>
      <c r="F5" t="s">
        <v>21</v>
      </c>
    </row>
    <row r="6" spans="1:6" x14ac:dyDescent="0.25">
      <c r="A6" t="s">
        <v>22</v>
      </c>
      <c r="B6" t="s">
        <v>23</v>
      </c>
      <c r="C6" t="s">
        <v>24</v>
      </c>
      <c r="D6" s="1">
        <v>0.26</v>
      </c>
      <c r="E6">
        <v>-5</v>
      </c>
      <c r="F6" t="s">
        <v>25</v>
      </c>
    </row>
    <row r="7" spans="1:6" x14ac:dyDescent="0.25">
      <c r="A7" t="s">
        <v>26</v>
      </c>
      <c r="B7" t="s">
        <v>27</v>
      </c>
      <c r="C7" t="s">
        <v>28</v>
      </c>
      <c r="D7" s="1">
        <v>0.09</v>
      </c>
      <c r="E7">
        <v>-15</v>
      </c>
      <c r="F7" t="s">
        <v>29</v>
      </c>
    </row>
    <row r="8" spans="1:6" x14ac:dyDescent="0.25">
      <c r="A8" t="s">
        <v>30</v>
      </c>
      <c r="B8" t="s">
        <v>31</v>
      </c>
      <c r="C8" t="s">
        <v>32</v>
      </c>
      <c r="D8" s="1">
        <v>0.24</v>
      </c>
      <c r="E8">
        <v>-55</v>
      </c>
      <c r="F8" t="s">
        <v>17</v>
      </c>
    </row>
    <row r="9" spans="1:6" x14ac:dyDescent="0.25">
      <c r="A9" t="s">
        <v>33</v>
      </c>
      <c r="B9" t="s">
        <v>34</v>
      </c>
      <c r="C9" t="s">
        <v>19</v>
      </c>
      <c r="D9" s="1">
        <v>0.37</v>
      </c>
      <c r="E9">
        <v>-2</v>
      </c>
      <c r="F9" t="s">
        <v>29</v>
      </c>
    </row>
    <row r="10" spans="1:6" x14ac:dyDescent="0.25">
      <c r="A10" t="s">
        <v>35</v>
      </c>
      <c r="B10" t="s">
        <v>36</v>
      </c>
      <c r="C10" t="s">
        <v>37</v>
      </c>
      <c r="D10" s="1">
        <v>0.55000000000000004</v>
      </c>
      <c r="E10">
        <v>-5</v>
      </c>
      <c r="F10" t="s">
        <v>25</v>
      </c>
    </row>
    <row r="11" spans="1:6" x14ac:dyDescent="0.25">
      <c r="A11" t="s">
        <v>38</v>
      </c>
      <c r="B11" t="s">
        <v>39</v>
      </c>
      <c r="C11" t="s">
        <v>40</v>
      </c>
      <c r="D11" s="1">
        <v>0.45</v>
      </c>
      <c r="E11">
        <v>-5</v>
      </c>
      <c r="F11" t="s">
        <v>41</v>
      </c>
    </row>
    <row r="12" spans="1:6" x14ac:dyDescent="0.25">
      <c r="A12" t="s">
        <v>42</v>
      </c>
      <c r="B12" t="s">
        <v>43</v>
      </c>
      <c r="C12" t="s">
        <v>12</v>
      </c>
      <c r="D12" s="1">
        <v>0.2</v>
      </c>
      <c r="E12">
        <v>-12</v>
      </c>
      <c r="F12" t="s">
        <v>13</v>
      </c>
    </row>
    <row r="13" spans="1:6" x14ac:dyDescent="0.25">
      <c r="A13" t="s">
        <v>44</v>
      </c>
      <c r="B13" t="s">
        <v>45</v>
      </c>
      <c r="C13" t="s">
        <v>46</v>
      </c>
      <c r="D13" s="1">
        <v>0.34</v>
      </c>
      <c r="E13">
        <v>-39</v>
      </c>
      <c r="F13" t="s">
        <v>21</v>
      </c>
    </row>
    <row r="14" spans="1:6" x14ac:dyDescent="0.25">
      <c r="A14" t="s">
        <v>47</v>
      </c>
      <c r="B14" t="s">
        <v>48</v>
      </c>
      <c r="C14" t="s">
        <v>49</v>
      </c>
      <c r="D14" s="1">
        <v>0.47</v>
      </c>
      <c r="E14">
        <v>-12</v>
      </c>
      <c r="F14" t="s">
        <v>25</v>
      </c>
    </row>
    <row r="15" spans="1:6" x14ac:dyDescent="0.25">
      <c r="A15" t="s">
        <v>50</v>
      </c>
      <c r="B15" t="s">
        <v>51</v>
      </c>
      <c r="C15" t="s">
        <v>52</v>
      </c>
      <c r="D15" s="1">
        <v>0.42</v>
      </c>
      <c r="E15">
        <v>-6</v>
      </c>
      <c r="F15" t="s">
        <v>9</v>
      </c>
    </row>
    <row r="16" spans="1:6" x14ac:dyDescent="0.25">
      <c r="A16" t="s">
        <v>53</v>
      </c>
      <c r="B16" t="s">
        <v>54</v>
      </c>
      <c r="C16" t="s">
        <v>20</v>
      </c>
      <c r="D16" s="1">
        <v>0.33</v>
      </c>
      <c r="E16">
        <v>-9</v>
      </c>
      <c r="F16" t="s">
        <v>55</v>
      </c>
    </row>
    <row r="17" spans="1:6" x14ac:dyDescent="0.25">
      <c r="A17" t="s">
        <v>56</v>
      </c>
      <c r="B17" t="s">
        <v>57</v>
      </c>
      <c r="C17" t="s">
        <v>58</v>
      </c>
      <c r="D17" s="1">
        <v>0.51</v>
      </c>
      <c r="E17">
        <v>-2</v>
      </c>
      <c r="F17" t="s">
        <v>59</v>
      </c>
    </row>
    <row r="18" spans="1:6" x14ac:dyDescent="0.25">
      <c r="A18" t="s">
        <v>60</v>
      </c>
      <c r="B18" t="s">
        <v>61</v>
      </c>
      <c r="C18" t="s">
        <v>62</v>
      </c>
      <c r="D18" s="1">
        <v>0.46</v>
      </c>
      <c r="E18">
        <v>-2</v>
      </c>
      <c r="F18" t="s">
        <v>59</v>
      </c>
    </row>
    <row r="19" spans="1:6" x14ac:dyDescent="0.25">
      <c r="A19" t="s">
        <v>63</v>
      </c>
      <c r="B19" t="s">
        <v>64</v>
      </c>
      <c r="C19" t="s">
        <v>65</v>
      </c>
      <c r="D19" s="1">
        <v>0.49</v>
      </c>
      <c r="E19">
        <v>-3</v>
      </c>
      <c r="F19" t="s">
        <v>59</v>
      </c>
    </row>
    <row r="20" spans="1:6" x14ac:dyDescent="0.25">
      <c r="A20" t="s">
        <v>66</v>
      </c>
      <c r="B20" t="s">
        <v>27</v>
      </c>
      <c r="C20" t="s">
        <v>67</v>
      </c>
      <c r="D20" s="1">
        <v>0.19</v>
      </c>
      <c r="E20">
        <v>-5</v>
      </c>
      <c r="F20" t="s">
        <v>17</v>
      </c>
    </row>
    <row r="21" spans="1:6" x14ac:dyDescent="0.25">
      <c r="A21" t="s">
        <v>68</v>
      </c>
      <c r="B21" t="s">
        <v>69</v>
      </c>
      <c r="C21" t="s">
        <v>70</v>
      </c>
      <c r="D21" s="1">
        <v>0.49</v>
      </c>
      <c r="E21">
        <v>-44</v>
      </c>
      <c r="F21" t="s">
        <v>17</v>
      </c>
    </row>
    <row r="22" spans="1:6" x14ac:dyDescent="0.25">
      <c r="A22" t="s">
        <v>71</v>
      </c>
      <c r="B22" t="s">
        <v>72</v>
      </c>
      <c r="C22" t="s">
        <v>73</v>
      </c>
      <c r="D22" s="1">
        <v>0.53</v>
      </c>
      <c r="E22">
        <v>-13</v>
      </c>
      <c r="F22" t="s">
        <v>74</v>
      </c>
    </row>
    <row r="23" spans="1:6" x14ac:dyDescent="0.25">
      <c r="A23" t="s">
        <v>75</v>
      </c>
      <c r="B23" t="s">
        <v>76</v>
      </c>
      <c r="C23" t="s">
        <v>77</v>
      </c>
      <c r="D23" s="1">
        <v>0.42</v>
      </c>
      <c r="E23" s="14"/>
      <c r="F23" s="14"/>
    </row>
    <row r="24" spans="1:6" x14ac:dyDescent="0.25">
      <c r="A24" t="s">
        <v>78</v>
      </c>
      <c r="B24" t="s">
        <v>79</v>
      </c>
      <c r="C24" t="s">
        <v>80</v>
      </c>
      <c r="D24" s="1">
        <v>0.35</v>
      </c>
      <c r="E24">
        <v>-6</v>
      </c>
      <c r="F24" t="s">
        <v>29</v>
      </c>
    </row>
    <row r="25" spans="1:6" x14ac:dyDescent="0.25">
      <c r="A25" t="s">
        <v>81</v>
      </c>
      <c r="B25" t="s">
        <v>82</v>
      </c>
      <c r="C25" t="s">
        <v>83</v>
      </c>
      <c r="D25" s="1">
        <v>0.23</v>
      </c>
      <c r="E25">
        <v>-14</v>
      </c>
      <c r="F25" t="s">
        <v>84</v>
      </c>
    </row>
    <row r="26" spans="1:6" x14ac:dyDescent="0.25">
      <c r="A26" t="s">
        <v>85</v>
      </c>
      <c r="B26" t="s">
        <v>86</v>
      </c>
      <c r="C26" t="s">
        <v>87</v>
      </c>
      <c r="D26" s="1">
        <v>0.54</v>
      </c>
      <c r="E26">
        <v>-7</v>
      </c>
      <c r="F26" t="s">
        <v>88</v>
      </c>
    </row>
    <row r="27" spans="1:6" x14ac:dyDescent="0.25">
      <c r="A27" t="s">
        <v>89</v>
      </c>
      <c r="B27" t="s">
        <v>90</v>
      </c>
      <c r="C27" t="s">
        <v>91</v>
      </c>
      <c r="D27" s="1">
        <v>0.35</v>
      </c>
      <c r="E27">
        <v>-49</v>
      </c>
      <c r="F27" t="s">
        <v>17</v>
      </c>
    </row>
    <row r="28" spans="1:6" x14ac:dyDescent="0.25">
      <c r="A28" t="s">
        <v>92</v>
      </c>
      <c r="B28" t="s">
        <v>93</v>
      </c>
      <c r="C28" t="s">
        <v>94</v>
      </c>
      <c r="D28" s="1">
        <v>0.18</v>
      </c>
      <c r="E28">
        <v>-12</v>
      </c>
      <c r="F28" t="s">
        <v>41</v>
      </c>
    </row>
    <row r="29" spans="1:6" x14ac:dyDescent="0.25">
      <c r="A29" t="s">
        <v>95</v>
      </c>
      <c r="B29" t="s">
        <v>80</v>
      </c>
      <c r="C29" t="s">
        <v>96</v>
      </c>
      <c r="D29" s="1">
        <v>0.32</v>
      </c>
      <c r="E29">
        <v>-13</v>
      </c>
      <c r="F29" t="s">
        <v>41</v>
      </c>
    </row>
    <row r="30" spans="1:6" x14ac:dyDescent="0.25">
      <c r="A30" t="s">
        <v>97</v>
      </c>
      <c r="B30" t="s">
        <v>98</v>
      </c>
      <c r="C30" t="s">
        <v>20</v>
      </c>
      <c r="D30" s="1">
        <v>0.3</v>
      </c>
      <c r="E30">
        <v>-20</v>
      </c>
      <c r="F30" t="s">
        <v>13</v>
      </c>
    </row>
    <row r="31" spans="1:6" x14ac:dyDescent="0.25">
      <c r="A31" t="s">
        <v>99</v>
      </c>
      <c r="B31" t="s">
        <v>100</v>
      </c>
      <c r="C31" t="s">
        <v>101</v>
      </c>
      <c r="D31" s="1">
        <v>0.46</v>
      </c>
      <c r="E31" s="14"/>
      <c r="F31" s="14"/>
    </row>
    <row r="32" spans="1:6" x14ac:dyDescent="0.25">
      <c r="A32" t="s">
        <v>102</v>
      </c>
      <c r="B32" t="s">
        <v>103</v>
      </c>
      <c r="C32" t="s">
        <v>104</v>
      </c>
      <c r="D32" s="1">
        <v>0.52</v>
      </c>
      <c r="E32">
        <v>-9</v>
      </c>
      <c r="F32" t="s">
        <v>88</v>
      </c>
    </row>
    <row r="33" spans="1:6" x14ac:dyDescent="0.25">
      <c r="A33" t="s">
        <v>105</v>
      </c>
      <c r="B33" t="s">
        <v>106</v>
      </c>
      <c r="C33" t="s">
        <v>107</v>
      </c>
      <c r="D33" s="1">
        <v>0.34</v>
      </c>
      <c r="E33">
        <v>-12</v>
      </c>
      <c r="F33" t="s">
        <v>21</v>
      </c>
    </row>
    <row r="34" spans="1:6" x14ac:dyDescent="0.25">
      <c r="A34" t="s">
        <v>108</v>
      </c>
      <c r="B34" t="s">
        <v>109</v>
      </c>
      <c r="C34" t="s">
        <v>110</v>
      </c>
      <c r="D34" s="1">
        <v>0.48</v>
      </c>
      <c r="E34">
        <v>-9</v>
      </c>
      <c r="F34" t="s">
        <v>88</v>
      </c>
    </row>
    <row r="35" spans="1:6" x14ac:dyDescent="0.25">
      <c r="A35" t="s">
        <v>111</v>
      </c>
      <c r="B35" t="s">
        <v>112</v>
      </c>
      <c r="C35" t="s">
        <v>113</v>
      </c>
      <c r="D35" s="1">
        <v>0.27</v>
      </c>
      <c r="E35">
        <v>-20</v>
      </c>
      <c r="F35" t="s">
        <v>21</v>
      </c>
    </row>
    <row r="36" spans="1:6" x14ac:dyDescent="0.25">
      <c r="A36" t="s">
        <v>114</v>
      </c>
      <c r="B36" t="s">
        <v>115</v>
      </c>
      <c r="C36" t="s">
        <v>116</v>
      </c>
      <c r="D36" s="1">
        <v>0.27</v>
      </c>
      <c r="E36">
        <v>-32</v>
      </c>
      <c r="F36" t="s">
        <v>9</v>
      </c>
    </row>
    <row r="37" spans="1:6" x14ac:dyDescent="0.25">
      <c r="A37" t="s">
        <v>117</v>
      </c>
      <c r="B37" t="s">
        <v>118</v>
      </c>
      <c r="C37" t="s">
        <v>119</v>
      </c>
      <c r="D37" s="1">
        <v>0.4</v>
      </c>
      <c r="E37">
        <v>-1</v>
      </c>
      <c r="F37" t="s">
        <v>59</v>
      </c>
    </row>
    <row r="38" spans="1:6" x14ac:dyDescent="0.25">
      <c r="A38" t="s">
        <v>120</v>
      </c>
      <c r="B38" t="s">
        <v>121</v>
      </c>
      <c r="C38" t="s">
        <v>62</v>
      </c>
      <c r="D38" s="1">
        <v>0.53</v>
      </c>
      <c r="E38">
        <v>-2</v>
      </c>
      <c r="F38" t="s">
        <v>59</v>
      </c>
    </row>
    <row r="39" spans="1:6" x14ac:dyDescent="0.25">
      <c r="A39" t="s">
        <v>122</v>
      </c>
      <c r="B39" t="s">
        <v>123</v>
      </c>
      <c r="C39" t="s">
        <v>124</v>
      </c>
      <c r="D39" s="1">
        <v>0.41</v>
      </c>
      <c r="E39">
        <v>-36</v>
      </c>
      <c r="F39" t="s">
        <v>88</v>
      </c>
    </row>
    <row r="40" spans="1:6" x14ac:dyDescent="0.25">
      <c r="A40" t="s">
        <v>125</v>
      </c>
      <c r="B40" t="s">
        <v>126</v>
      </c>
      <c r="C40" t="s">
        <v>127</v>
      </c>
      <c r="D40" s="1">
        <v>0.38</v>
      </c>
      <c r="E40">
        <v>-2</v>
      </c>
      <c r="F40" t="s">
        <v>9</v>
      </c>
    </row>
    <row r="41" spans="1:6" x14ac:dyDescent="0.25">
      <c r="A41" t="s">
        <v>128</v>
      </c>
      <c r="B41" t="s">
        <v>129</v>
      </c>
      <c r="C41" t="s">
        <v>130</v>
      </c>
      <c r="D41" s="1">
        <v>0.38</v>
      </c>
      <c r="E41" s="14"/>
      <c r="F41" s="14"/>
    </row>
    <row r="42" spans="1:6" x14ac:dyDescent="0.25">
      <c r="A42" t="s">
        <v>131</v>
      </c>
      <c r="B42" t="s">
        <v>132</v>
      </c>
      <c r="C42" t="s">
        <v>133</v>
      </c>
      <c r="D42" s="1">
        <v>0.49</v>
      </c>
      <c r="E42" s="14"/>
      <c r="F42" s="14"/>
    </row>
    <row r="43" spans="1:6" x14ac:dyDescent="0.25">
      <c r="A43" t="s">
        <v>134</v>
      </c>
      <c r="B43" t="s">
        <v>135</v>
      </c>
      <c r="C43" t="s">
        <v>136</v>
      </c>
      <c r="D43" s="1">
        <v>0.5</v>
      </c>
      <c r="E43" s="14"/>
      <c r="F43" s="14"/>
    </row>
    <row r="44" spans="1:6" x14ac:dyDescent="0.25">
      <c r="A44" t="s">
        <v>137</v>
      </c>
      <c r="B44" t="s">
        <v>138</v>
      </c>
      <c r="C44" t="s">
        <v>139</v>
      </c>
      <c r="D44" s="1">
        <v>0.42</v>
      </c>
      <c r="E44" s="14"/>
      <c r="F44" s="14"/>
    </row>
    <row r="45" spans="1:6" x14ac:dyDescent="0.25">
      <c r="A45" t="s">
        <v>137</v>
      </c>
      <c r="B45" t="s">
        <v>138</v>
      </c>
      <c r="C45" t="s">
        <v>139</v>
      </c>
      <c r="D45" s="1">
        <v>0.42</v>
      </c>
      <c r="E45" s="14"/>
      <c r="F45" s="14"/>
    </row>
    <row r="46" spans="1:6" x14ac:dyDescent="0.25">
      <c r="A46" t="s">
        <v>140</v>
      </c>
      <c r="B46" t="s">
        <v>141</v>
      </c>
      <c r="C46" t="s">
        <v>142</v>
      </c>
      <c r="D46" s="1">
        <v>0.02</v>
      </c>
      <c r="E46" s="14"/>
      <c r="F46" s="14"/>
    </row>
    <row r="47" spans="1:6" x14ac:dyDescent="0.25">
      <c r="A47" t="s">
        <v>143</v>
      </c>
      <c r="B47" t="s">
        <v>12</v>
      </c>
      <c r="C47" t="s">
        <v>144</v>
      </c>
      <c r="D47" s="1">
        <v>0.5</v>
      </c>
      <c r="E47" s="14"/>
      <c r="F47" s="14"/>
    </row>
    <row r="48" spans="1:6" x14ac:dyDescent="0.25">
      <c r="A48" t="s">
        <v>145</v>
      </c>
      <c r="B48" t="s">
        <v>146</v>
      </c>
      <c r="C48" t="s">
        <v>147</v>
      </c>
      <c r="D48" s="1">
        <v>0.33</v>
      </c>
      <c r="E48" s="14"/>
      <c r="F48" s="14"/>
    </row>
    <row r="49" spans="1:6" x14ac:dyDescent="0.25">
      <c r="A49" t="s">
        <v>148</v>
      </c>
      <c r="B49" t="s">
        <v>149</v>
      </c>
      <c r="C49" t="s">
        <v>150</v>
      </c>
      <c r="D49" s="1">
        <v>0.49</v>
      </c>
      <c r="E49" s="14"/>
      <c r="F49" s="14"/>
    </row>
    <row r="50" spans="1:6" x14ac:dyDescent="0.25">
      <c r="A50" t="s">
        <v>151</v>
      </c>
      <c r="B50" t="s">
        <v>152</v>
      </c>
      <c r="C50" t="s">
        <v>153</v>
      </c>
      <c r="D50" s="1">
        <v>0.38</v>
      </c>
      <c r="E50" s="14"/>
      <c r="F50" s="14"/>
    </row>
    <row r="51" spans="1:6" x14ac:dyDescent="0.25">
      <c r="A51" t="s">
        <v>154</v>
      </c>
      <c r="B51" t="s">
        <v>155</v>
      </c>
      <c r="C51" t="s">
        <v>156</v>
      </c>
      <c r="D51" s="1">
        <v>0.61</v>
      </c>
      <c r="E51" s="14"/>
      <c r="F51" s="14"/>
    </row>
    <row r="52" spans="1:6" x14ac:dyDescent="0.25">
      <c r="A52" t="s">
        <v>157</v>
      </c>
      <c r="B52" t="s">
        <v>158</v>
      </c>
      <c r="C52" t="s">
        <v>159</v>
      </c>
      <c r="D52" s="1">
        <v>0.5</v>
      </c>
      <c r="E52" s="14"/>
      <c r="F52" s="14"/>
    </row>
    <row r="53" spans="1:6" x14ac:dyDescent="0.25">
      <c r="A53" t="s">
        <v>160</v>
      </c>
      <c r="B53" t="s">
        <v>161</v>
      </c>
      <c r="C53" t="s">
        <v>162</v>
      </c>
      <c r="D53" s="1">
        <v>0.02</v>
      </c>
      <c r="E53" s="14"/>
      <c r="F53" s="14"/>
    </row>
    <row r="54" spans="1:6" x14ac:dyDescent="0.25">
      <c r="A54" t="s">
        <v>163</v>
      </c>
      <c r="B54" t="s">
        <v>158</v>
      </c>
      <c r="C54" t="s">
        <v>164</v>
      </c>
      <c r="D54" s="1">
        <v>0.22</v>
      </c>
      <c r="E54" s="14"/>
      <c r="F54" s="14"/>
    </row>
    <row r="55" spans="1:6" x14ac:dyDescent="0.25">
      <c r="A55" t="s">
        <v>165</v>
      </c>
      <c r="B55" t="s">
        <v>166</v>
      </c>
      <c r="C55" t="s">
        <v>167</v>
      </c>
      <c r="D55" s="1">
        <v>0.03</v>
      </c>
      <c r="E55" s="14"/>
      <c r="F55" s="14"/>
    </row>
    <row r="56" spans="1:6" x14ac:dyDescent="0.25">
      <c r="A56" t="s">
        <v>168</v>
      </c>
      <c r="B56" t="s">
        <v>43</v>
      </c>
      <c r="C56" t="s">
        <v>169</v>
      </c>
      <c r="D56" s="1">
        <v>0.41</v>
      </c>
      <c r="E56" s="14"/>
      <c r="F56" s="14"/>
    </row>
    <row r="57" spans="1:6" x14ac:dyDescent="0.25">
      <c r="A57" t="s">
        <v>170</v>
      </c>
      <c r="B57" t="s">
        <v>171</v>
      </c>
      <c r="C57" t="s">
        <v>172</v>
      </c>
      <c r="D57" s="1">
        <v>0.45</v>
      </c>
      <c r="E57" s="14"/>
      <c r="F57" s="14"/>
    </row>
    <row r="58" spans="1:6" x14ac:dyDescent="0.25">
      <c r="A58" t="s">
        <v>173</v>
      </c>
      <c r="B58" t="s">
        <v>174</v>
      </c>
      <c r="C58" t="s">
        <v>169</v>
      </c>
      <c r="D58" s="1">
        <v>0.48</v>
      </c>
      <c r="E58" s="14"/>
      <c r="F58" s="14"/>
    </row>
    <row r="59" spans="1:6" x14ac:dyDescent="0.25">
      <c r="A59" t="s">
        <v>175</v>
      </c>
      <c r="B59" t="s">
        <v>43</v>
      </c>
      <c r="C59" t="s">
        <v>176</v>
      </c>
      <c r="D59" s="1">
        <v>0.49</v>
      </c>
      <c r="E59" s="14"/>
      <c r="F59" s="14"/>
    </row>
    <row r="60" spans="1:6" x14ac:dyDescent="0.25">
      <c r="A60" t="s">
        <v>177</v>
      </c>
      <c r="B60" t="s">
        <v>178</v>
      </c>
      <c r="C60" t="s">
        <v>179</v>
      </c>
      <c r="D60" s="1">
        <v>0.27</v>
      </c>
      <c r="E60" s="14"/>
      <c r="F60" s="14"/>
    </row>
    <row r="61" spans="1:6" x14ac:dyDescent="0.25">
      <c r="A61" t="s">
        <v>170</v>
      </c>
      <c r="B61" t="s">
        <v>180</v>
      </c>
      <c r="C61" t="s">
        <v>181</v>
      </c>
      <c r="D61" s="1">
        <v>0.55000000000000004</v>
      </c>
      <c r="E61" s="14"/>
      <c r="F61" s="14"/>
    </row>
    <row r="62" spans="1:6" x14ac:dyDescent="0.25">
      <c r="A62" t="s">
        <v>182</v>
      </c>
      <c r="B62" t="s">
        <v>183</v>
      </c>
      <c r="C62" t="s">
        <v>184</v>
      </c>
      <c r="D62" s="1">
        <v>0.13</v>
      </c>
      <c r="E62">
        <v>-6</v>
      </c>
      <c r="F62" t="s">
        <v>185</v>
      </c>
    </row>
    <row r="63" spans="1:6" x14ac:dyDescent="0.25">
      <c r="A63" t="s">
        <v>186</v>
      </c>
      <c r="B63" t="s">
        <v>187</v>
      </c>
      <c r="C63" t="s">
        <v>188</v>
      </c>
      <c r="D63" s="1">
        <v>0.54</v>
      </c>
      <c r="E63">
        <v>-10</v>
      </c>
      <c r="F63" t="s">
        <v>189</v>
      </c>
    </row>
    <row r="64" spans="1:6" x14ac:dyDescent="0.25">
      <c r="A64" t="s">
        <v>190</v>
      </c>
      <c r="B64" t="s">
        <v>191</v>
      </c>
      <c r="C64" t="s">
        <v>192</v>
      </c>
      <c r="D64" s="1">
        <v>0.55000000000000004</v>
      </c>
      <c r="E64">
        <v>-13</v>
      </c>
      <c r="F64" t="s">
        <v>193</v>
      </c>
    </row>
    <row r="65" spans="1:6" x14ac:dyDescent="0.25">
      <c r="A65" t="s">
        <v>194</v>
      </c>
      <c r="B65" t="s">
        <v>195</v>
      </c>
      <c r="C65" t="s">
        <v>196</v>
      </c>
      <c r="D65" s="1">
        <v>0.49</v>
      </c>
      <c r="E65">
        <v>-69</v>
      </c>
      <c r="F65" t="s">
        <v>197</v>
      </c>
    </row>
    <row r="66" spans="1:6" x14ac:dyDescent="0.25">
      <c r="A66" t="s">
        <v>198</v>
      </c>
      <c r="B66" t="s">
        <v>199</v>
      </c>
      <c r="C66" t="s">
        <v>200</v>
      </c>
      <c r="D66" s="1">
        <v>0.52</v>
      </c>
      <c r="E66">
        <v>-15</v>
      </c>
      <c r="F66" t="s">
        <v>201</v>
      </c>
    </row>
    <row r="67" spans="1:6" x14ac:dyDescent="0.25">
      <c r="A67" t="s">
        <v>202</v>
      </c>
      <c r="B67" t="s">
        <v>203</v>
      </c>
      <c r="C67" t="s">
        <v>204</v>
      </c>
      <c r="D67" s="1">
        <v>0.22</v>
      </c>
      <c r="E67">
        <v>-16</v>
      </c>
      <c r="F67" t="s">
        <v>205</v>
      </c>
    </row>
    <row r="68" spans="1:6" x14ac:dyDescent="0.25">
      <c r="A68" t="s">
        <v>206</v>
      </c>
      <c r="B68" t="s">
        <v>45</v>
      </c>
      <c r="C68" t="s">
        <v>207</v>
      </c>
      <c r="D68" s="1">
        <v>0.45</v>
      </c>
      <c r="E68">
        <v>-6</v>
      </c>
      <c r="F68" t="s">
        <v>208</v>
      </c>
    </row>
    <row r="69" spans="1:6" x14ac:dyDescent="0.25">
      <c r="A69" t="s">
        <v>209</v>
      </c>
      <c r="B69" t="s">
        <v>210</v>
      </c>
      <c r="C69" t="s">
        <v>144</v>
      </c>
      <c r="D69" s="1">
        <v>0.5</v>
      </c>
      <c r="E69">
        <v>-7</v>
      </c>
      <c r="F69" t="s">
        <v>211</v>
      </c>
    </row>
    <row r="70" spans="1:6" x14ac:dyDescent="0.25">
      <c r="A70" t="s">
        <v>212</v>
      </c>
      <c r="B70" t="s">
        <v>213</v>
      </c>
      <c r="C70" t="s">
        <v>214</v>
      </c>
      <c r="D70" s="1">
        <v>0.39</v>
      </c>
      <c r="E70">
        <v>-5</v>
      </c>
      <c r="F70" t="s">
        <v>189</v>
      </c>
    </row>
    <row r="71" spans="1:6" x14ac:dyDescent="0.25">
      <c r="A71" t="s">
        <v>215</v>
      </c>
      <c r="B71" t="s">
        <v>104</v>
      </c>
      <c r="C71" t="s">
        <v>216</v>
      </c>
      <c r="D71" s="1">
        <v>0.45</v>
      </c>
      <c r="E71">
        <v>-17</v>
      </c>
      <c r="F71" t="s">
        <v>217</v>
      </c>
    </row>
    <row r="72" spans="1:6" x14ac:dyDescent="0.25">
      <c r="A72" t="s">
        <v>218</v>
      </c>
      <c r="B72" t="s">
        <v>219</v>
      </c>
      <c r="C72" t="s">
        <v>220</v>
      </c>
      <c r="D72" s="1">
        <v>0.28999999999999998</v>
      </c>
      <c r="E72">
        <v>-5</v>
      </c>
      <c r="F72" t="s">
        <v>189</v>
      </c>
    </row>
    <row r="73" spans="1:6" x14ac:dyDescent="0.25">
      <c r="A73" t="s">
        <v>221</v>
      </c>
      <c r="B73" t="s">
        <v>222</v>
      </c>
      <c r="C73" t="s">
        <v>223</v>
      </c>
      <c r="D73" s="1">
        <v>0.43</v>
      </c>
      <c r="E73">
        <v>-6</v>
      </c>
      <c r="F73" t="s">
        <v>211</v>
      </c>
    </row>
    <row r="74" spans="1:6" x14ac:dyDescent="0.25">
      <c r="A74" t="s">
        <v>224</v>
      </c>
      <c r="B74" t="s">
        <v>225</v>
      </c>
      <c r="C74" t="s">
        <v>226</v>
      </c>
      <c r="D74" s="1">
        <v>0.43</v>
      </c>
      <c r="E74">
        <v>-5</v>
      </c>
      <c r="F74" t="s">
        <v>189</v>
      </c>
    </row>
    <row r="75" spans="1:6" x14ac:dyDescent="0.25">
      <c r="A75" t="s">
        <v>227</v>
      </c>
      <c r="B75" t="s">
        <v>228</v>
      </c>
      <c r="C75" t="s">
        <v>207</v>
      </c>
      <c r="D75" s="1">
        <v>0.47</v>
      </c>
      <c r="E75">
        <v>-6</v>
      </c>
      <c r="F75" t="s">
        <v>208</v>
      </c>
    </row>
    <row r="76" spans="1:6" x14ac:dyDescent="0.25">
      <c r="A76" t="s">
        <v>229</v>
      </c>
      <c r="B76" t="s">
        <v>230</v>
      </c>
      <c r="C76" t="s">
        <v>231</v>
      </c>
      <c r="D76" s="1">
        <v>0.47</v>
      </c>
      <c r="E76">
        <v>-7</v>
      </c>
      <c r="F76" t="s">
        <v>193</v>
      </c>
    </row>
    <row r="77" spans="1:6" x14ac:dyDescent="0.25">
      <c r="A77" t="s">
        <v>232</v>
      </c>
      <c r="B77" t="s">
        <v>233</v>
      </c>
      <c r="C77" t="s">
        <v>234</v>
      </c>
      <c r="D77" s="1">
        <v>0.47</v>
      </c>
      <c r="E77" s="14"/>
      <c r="F77" s="14"/>
    </row>
    <row r="78" spans="1:6" x14ac:dyDescent="0.25">
      <c r="A78" t="s">
        <v>235</v>
      </c>
      <c r="B78" t="s">
        <v>236</v>
      </c>
      <c r="C78" t="s">
        <v>152</v>
      </c>
      <c r="D78" s="1">
        <v>0.43</v>
      </c>
      <c r="E78" s="14"/>
      <c r="F78" s="14"/>
    </row>
    <row r="79" spans="1:6" x14ac:dyDescent="0.25">
      <c r="A79" t="s">
        <v>237</v>
      </c>
      <c r="B79" t="s">
        <v>238</v>
      </c>
      <c r="C79" t="s">
        <v>239</v>
      </c>
      <c r="D79" s="1">
        <v>0.04</v>
      </c>
      <c r="E79" s="14"/>
      <c r="F79" s="14"/>
    </row>
    <row r="80" spans="1:6" x14ac:dyDescent="0.25">
      <c r="A80" t="s">
        <v>240</v>
      </c>
      <c r="B80" t="s">
        <v>241</v>
      </c>
      <c r="C80" t="s">
        <v>242</v>
      </c>
      <c r="D80" s="1">
        <v>0.49</v>
      </c>
      <c r="E80" s="14"/>
      <c r="F80" s="14"/>
    </row>
    <row r="81" spans="1:6" x14ac:dyDescent="0.25">
      <c r="A81" t="s">
        <v>243</v>
      </c>
      <c r="B81" t="s">
        <v>244</v>
      </c>
      <c r="C81" t="s">
        <v>15</v>
      </c>
      <c r="D81" s="1">
        <v>0.46</v>
      </c>
      <c r="E81">
        <v>-1</v>
      </c>
      <c r="F81" t="s">
        <v>189</v>
      </c>
    </row>
    <row r="82" spans="1:6" x14ac:dyDescent="0.25">
      <c r="A82" t="s">
        <v>245</v>
      </c>
      <c r="B82" t="s">
        <v>246</v>
      </c>
      <c r="C82" t="s">
        <v>247</v>
      </c>
      <c r="D82" s="1">
        <v>0.49</v>
      </c>
      <c r="E82">
        <v>-1</v>
      </c>
      <c r="F82" t="s">
        <v>59</v>
      </c>
    </row>
    <row r="83" spans="1:6" x14ac:dyDescent="0.25">
      <c r="A83" t="s">
        <v>248</v>
      </c>
      <c r="B83" t="s">
        <v>249</v>
      </c>
      <c r="C83" t="s">
        <v>250</v>
      </c>
      <c r="D83" s="1">
        <v>0.36</v>
      </c>
      <c r="E83" s="14"/>
      <c r="F83" s="14"/>
    </row>
    <row r="84" spans="1:6" x14ac:dyDescent="0.25">
      <c r="A84" t="s">
        <v>251</v>
      </c>
      <c r="B84" t="s">
        <v>252</v>
      </c>
      <c r="C84" t="s">
        <v>162</v>
      </c>
      <c r="D84" s="1">
        <v>0.02</v>
      </c>
      <c r="E84" s="14"/>
      <c r="F84" s="14"/>
    </row>
    <row r="85" spans="1:6" x14ac:dyDescent="0.25">
      <c r="A85" t="s">
        <v>253</v>
      </c>
      <c r="B85" t="s">
        <v>254</v>
      </c>
      <c r="C85" t="s">
        <v>91</v>
      </c>
      <c r="D85" s="1">
        <v>0.49</v>
      </c>
      <c r="E85">
        <v>-1</v>
      </c>
      <c r="F85" t="s">
        <v>29</v>
      </c>
    </row>
    <row r="86" spans="1:6" x14ac:dyDescent="0.25">
      <c r="A86" t="s">
        <v>137</v>
      </c>
      <c r="B86" t="s">
        <v>138</v>
      </c>
      <c r="C86" t="s">
        <v>139</v>
      </c>
      <c r="D86" s="1">
        <v>0.42</v>
      </c>
      <c r="E86" s="14"/>
      <c r="F86" s="14"/>
    </row>
    <row r="87" spans="1:6" x14ac:dyDescent="0.25">
      <c r="A87" t="s">
        <v>154</v>
      </c>
      <c r="B87" t="s">
        <v>255</v>
      </c>
      <c r="C87" t="s">
        <v>222</v>
      </c>
      <c r="D87" s="1">
        <v>0.49</v>
      </c>
      <c r="E87" s="14"/>
      <c r="F87" s="14"/>
    </row>
    <row r="88" spans="1:6" x14ac:dyDescent="0.25">
      <c r="A88" t="s">
        <v>256</v>
      </c>
      <c r="B88" t="s">
        <v>257</v>
      </c>
      <c r="C88" t="s">
        <v>162</v>
      </c>
      <c r="D88" s="1">
        <v>0.14000000000000001</v>
      </c>
      <c r="E88" s="14"/>
      <c r="F88" s="14"/>
    </row>
    <row r="89" spans="1:6" x14ac:dyDescent="0.25">
      <c r="A89" t="s">
        <v>258</v>
      </c>
      <c r="B89" t="s">
        <v>259</v>
      </c>
      <c r="C89" t="s">
        <v>260</v>
      </c>
      <c r="D89" s="1">
        <v>0.49</v>
      </c>
      <c r="E89" s="14"/>
      <c r="F89" s="14"/>
    </row>
    <row r="90" spans="1:6" x14ac:dyDescent="0.25">
      <c r="A90" t="s">
        <v>261</v>
      </c>
      <c r="B90" t="s">
        <v>43</v>
      </c>
      <c r="C90" t="s">
        <v>172</v>
      </c>
      <c r="D90" s="1">
        <v>0.11</v>
      </c>
      <c r="E90" s="14"/>
      <c r="F90" s="14"/>
    </row>
    <row r="91" spans="1:6" x14ac:dyDescent="0.25">
      <c r="A91" t="s">
        <v>175</v>
      </c>
      <c r="B91" t="s">
        <v>262</v>
      </c>
      <c r="C91" t="s">
        <v>263</v>
      </c>
      <c r="D91" s="1">
        <v>0.49</v>
      </c>
      <c r="E91" s="14"/>
      <c r="F91" s="14"/>
    </row>
    <row r="92" spans="1:6" x14ac:dyDescent="0.25">
      <c r="A92" t="s">
        <v>264</v>
      </c>
      <c r="B92" t="s">
        <v>265</v>
      </c>
      <c r="C92" t="s">
        <v>162</v>
      </c>
      <c r="D92" s="1">
        <v>0.14000000000000001</v>
      </c>
      <c r="E92" s="14"/>
      <c r="F92" s="14"/>
    </row>
    <row r="93" spans="1:6" x14ac:dyDescent="0.25">
      <c r="A93" t="s">
        <v>266</v>
      </c>
      <c r="B93" t="s">
        <v>267</v>
      </c>
      <c r="C93" t="s">
        <v>268</v>
      </c>
      <c r="D93" s="1">
        <v>0.43</v>
      </c>
      <c r="E93" s="14"/>
      <c r="F93" s="14"/>
    </row>
    <row r="94" spans="1:6" x14ac:dyDescent="0.25">
      <c r="A94" t="s">
        <v>269</v>
      </c>
      <c r="B94" t="s">
        <v>270</v>
      </c>
      <c r="C94" t="s">
        <v>271</v>
      </c>
      <c r="D94" s="1">
        <v>0.5</v>
      </c>
      <c r="E94" s="14"/>
      <c r="F94" s="14"/>
    </row>
    <row r="95" spans="1:6" x14ac:dyDescent="0.25">
      <c r="A95" t="s">
        <v>272</v>
      </c>
      <c r="B95" t="s">
        <v>273</v>
      </c>
      <c r="C95" t="s">
        <v>184</v>
      </c>
      <c r="D95" s="1">
        <v>0.48</v>
      </c>
      <c r="E95" s="14"/>
      <c r="F95" s="14"/>
    </row>
    <row r="96" spans="1:6" x14ac:dyDescent="0.25">
      <c r="A96" t="s">
        <v>274</v>
      </c>
      <c r="B96" t="s">
        <v>275</v>
      </c>
      <c r="C96" t="s">
        <v>276</v>
      </c>
      <c r="D96" s="1">
        <v>0.48</v>
      </c>
      <c r="E96" s="14"/>
      <c r="F96" s="14"/>
    </row>
    <row r="97" spans="1:6" x14ac:dyDescent="0.25">
      <c r="A97" t="s">
        <v>277</v>
      </c>
      <c r="B97" t="s">
        <v>226</v>
      </c>
      <c r="C97" t="s">
        <v>162</v>
      </c>
      <c r="D97" s="1">
        <v>0.47</v>
      </c>
      <c r="E97" s="14"/>
      <c r="F97" s="14"/>
    </row>
    <row r="98" spans="1:6" x14ac:dyDescent="0.25">
      <c r="A98" t="s">
        <v>277</v>
      </c>
      <c r="B98" t="s">
        <v>226</v>
      </c>
      <c r="C98" t="s">
        <v>162</v>
      </c>
      <c r="D98" s="1">
        <v>0.47</v>
      </c>
      <c r="E98" s="14"/>
      <c r="F98" s="14"/>
    </row>
    <row r="99" spans="1:6" x14ac:dyDescent="0.25">
      <c r="A99" t="s">
        <v>278</v>
      </c>
      <c r="B99" t="s">
        <v>152</v>
      </c>
      <c r="C99" t="s">
        <v>279</v>
      </c>
      <c r="D99" s="1">
        <v>0.5</v>
      </c>
      <c r="E99" s="14"/>
      <c r="F99" s="14"/>
    </row>
    <row r="100" spans="1:6" x14ac:dyDescent="0.25">
      <c r="A100" t="s">
        <v>280</v>
      </c>
      <c r="B100" t="s">
        <v>281</v>
      </c>
      <c r="C100" t="s">
        <v>161</v>
      </c>
      <c r="D100" s="1">
        <v>0.08</v>
      </c>
      <c r="E100" s="14"/>
      <c r="F100" s="14"/>
    </row>
    <row r="101" spans="1:6" x14ac:dyDescent="0.25">
      <c r="A101" t="s">
        <v>282</v>
      </c>
      <c r="B101" t="s">
        <v>283</v>
      </c>
      <c r="C101" t="s">
        <v>167</v>
      </c>
      <c r="D101" s="1">
        <v>0.02</v>
      </c>
      <c r="E101" s="14"/>
      <c r="F101" s="14"/>
    </row>
    <row r="102" spans="1:6" x14ac:dyDescent="0.25">
      <c r="A102" t="s">
        <v>284</v>
      </c>
      <c r="B102" t="s">
        <v>285</v>
      </c>
      <c r="C102" t="s">
        <v>286</v>
      </c>
      <c r="D102" s="1">
        <v>0.49</v>
      </c>
      <c r="E102" s="14"/>
      <c r="F102" s="14"/>
    </row>
    <row r="103" spans="1:6" x14ac:dyDescent="0.25">
      <c r="A103" t="s">
        <v>287</v>
      </c>
      <c r="B103" t="s">
        <v>288</v>
      </c>
      <c r="C103" t="s">
        <v>67</v>
      </c>
      <c r="D103" s="1">
        <v>0.04</v>
      </c>
      <c r="E103" s="14"/>
      <c r="F103" s="14"/>
    </row>
    <row r="104" spans="1:6" x14ac:dyDescent="0.25">
      <c r="A104" t="s">
        <v>289</v>
      </c>
      <c r="B104" t="s">
        <v>290</v>
      </c>
      <c r="C104" t="s">
        <v>291</v>
      </c>
      <c r="D104" s="1">
        <v>0.49</v>
      </c>
      <c r="E104" s="14"/>
      <c r="F104" s="14"/>
    </row>
    <row r="105" spans="1:6" x14ac:dyDescent="0.25">
      <c r="A105" t="s">
        <v>292</v>
      </c>
      <c r="B105" t="s">
        <v>293</v>
      </c>
      <c r="C105" t="s">
        <v>294</v>
      </c>
      <c r="D105" s="1">
        <v>0.42</v>
      </c>
      <c r="E105" s="14"/>
      <c r="F105" s="14"/>
    </row>
    <row r="106" spans="1:6" x14ac:dyDescent="0.25">
      <c r="A106" t="s">
        <v>295</v>
      </c>
      <c r="B106" t="s">
        <v>296</v>
      </c>
      <c r="C106" t="s">
        <v>297</v>
      </c>
      <c r="D106" s="1">
        <v>0.21</v>
      </c>
      <c r="E106">
        <v>-1</v>
      </c>
      <c r="F106" t="s">
        <v>59</v>
      </c>
    </row>
    <row r="107" spans="1:6" x14ac:dyDescent="0.25">
      <c r="A107" t="s">
        <v>298</v>
      </c>
      <c r="B107" t="s">
        <v>299</v>
      </c>
      <c r="C107" t="s">
        <v>300</v>
      </c>
      <c r="D107" s="1">
        <v>0.41</v>
      </c>
      <c r="E107" s="14"/>
      <c r="F107" s="14"/>
    </row>
    <row r="108" spans="1:6" x14ac:dyDescent="0.25">
      <c r="A108" t="s">
        <v>301</v>
      </c>
      <c r="B108" t="s">
        <v>302</v>
      </c>
      <c r="C108" t="s">
        <v>303</v>
      </c>
      <c r="D108" s="1">
        <v>0.01</v>
      </c>
      <c r="E108" s="14"/>
      <c r="F108" s="14"/>
    </row>
    <row r="109" spans="1:6" x14ac:dyDescent="0.25">
      <c r="A109" t="s">
        <v>304</v>
      </c>
      <c r="B109" t="s">
        <v>305</v>
      </c>
      <c r="C109" t="s">
        <v>306</v>
      </c>
      <c r="D109" s="1">
        <v>0.24</v>
      </c>
      <c r="E109" s="14"/>
      <c r="F109" s="14"/>
    </row>
    <row r="110" spans="1:6" x14ac:dyDescent="0.25">
      <c r="A110" t="s">
        <v>307</v>
      </c>
      <c r="B110" t="s">
        <v>308</v>
      </c>
      <c r="C110" t="s">
        <v>309</v>
      </c>
      <c r="D110" s="1">
        <v>0.34</v>
      </c>
      <c r="E110" s="14"/>
      <c r="F110" s="14"/>
    </row>
    <row r="111" spans="1:6" x14ac:dyDescent="0.25">
      <c r="A111" t="s">
        <v>310</v>
      </c>
      <c r="B111" t="s">
        <v>146</v>
      </c>
      <c r="C111" t="s">
        <v>311</v>
      </c>
      <c r="D111" s="1">
        <v>0.34</v>
      </c>
      <c r="E111" s="14"/>
      <c r="F111" s="14"/>
    </row>
    <row r="112" spans="1:6" x14ac:dyDescent="0.25">
      <c r="A112" t="s">
        <v>312</v>
      </c>
      <c r="B112" t="s">
        <v>313</v>
      </c>
      <c r="C112" t="s">
        <v>162</v>
      </c>
      <c r="D112" s="1">
        <v>0.02</v>
      </c>
      <c r="E112" s="14"/>
      <c r="F112" s="14"/>
    </row>
    <row r="113" spans="1:6" x14ac:dyDescent="0.25">
      <c r="A113" t="s">
        <v>314</v>
      </c>
      <c r="B113" t="s">
        <v>315</v>
      </c>
      <c r="C113" t="s">
        <v>239</v>
      </c>
      <c r="D113" s="1">
        <v>0.02</v>
      </c>
      <c r="E113" s="14"/>
      <c r="F113" s="14"/>
    </row>
    <row r="114" spans="1:6" x14ac:dyDescent="0.25">
      <c r="A114" t="s">
        <v>316</v>
      </c>
      <c r="B114" t="s">
        <v>155</v>
      </c>
      <c r="C114" t="s">
        <v>317</v>
      </c>
      <c r="D114" s="1">
        <v>0.64</v>
      </c>
      <c r="E114" s="14"/>
      <c r="F114" s="14"/>
    </row>
    <row r="115" spans="1:6" x14ac:dyDescent="0.25">
      <c r="A115" t="s">
        <v>318</v>
      </c>
      <c r="B115" t="s">
        <v>242</v>
      </c>
      <c r="C115" t="s">
        <v>172</v>
      </c>
      <c r="D115" s="1">
        <v>0.5</v>
      </c>
      <c r="E115">
        <v>-1</v>
      </c>
      <c r="F115" t="s">
        <v>319</v>
      </c>
    </row>
    <row r="116" spans="1:6" x14ac:dyDescent="0.25">
      <c r="A116" t="s">
        <v>320</v>
      </c>
      <c r="B116" t="s">
        <v>321</v>
      </c>
      <c r="C116" t="s">
        <v>322</v>
      </c>
      <c r="D116" s="1">
        <v>0.47</v>
      </c>
      <c r="E116" s="14"/>
      <c r="F116" s="14"/>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989591-AE0F-4AA0-BFFF-9BF006433359}">
  <dimension ref="A1:F120"/>
  <sheetViews>
    <sheetView zoomScaleNormal="100" workbookViewId="0">
      <pane ySplit="1" topLeftCell="A71" activePane="bottomLeft" state="frozen"/>
      <selection pane="bottomLeft" activeCell="M38" sqref="M38"/>
    </sheetView>
  </sheetViews>
  <sheetFormatPr defaultRowHeight="15" x14ac:dyDescent="0.25"/>
  <cols>
    <col min="1" max="1" width="95" bestFit="1" customWidth="1"/>
    <col min="2" max="3" width="19.42578125" bestFit="1" customWidth="1"/>
    <col min="4" max="4" width="8.85546875" bestFit="1" customWidth="1"/>
    <col min="5" max="5" width="7" bestFit="1" customWidth="1"/>
    <col min="6" max="6" width="10.42578125" bestFit="1" customWidth="1"/>
  </cols>
  <sheetData>
    <row r="1" spans="1:6" s="2" customFormat="1" x14ac:dyDescent="0.25">
      <c r="A1" s="2" t="s">
        <v>0</v>
      </c>
      <c r="B1" s="2" t="s">
        <v>1</v>
      </c>
      <c r="C1" s="2" t="s">
        <v>2</v>
      </c>
      <c r="D1" s="2" t="s">
        <v>3</v>
      </c>
      <c r="E1" s="2" t="s">
        <v>4</v>
      </c>
      <c r="F1" s="2" t="s">
        <v>5</v>
      </c>
    </row>
    <row r="2" spans="1:6" x14ac:dyDescent="0.25">
      <c r="A2" t="s">
        <v>6</v>
      </c>
      <c r="B2" t="s">
        <v>7</v>
      </c>
      <c r="C2" t="s">
        <v>8</v>
      </c>
      <c r="D2" s="1">
        <v>0.38</v>
      </c>
      <c r="E2">
        <v>-2</v>
      </c>
      <c r="F2" t="s">
        <v>9</v>
      </c>
    </row>
    <row r="3" spans="1:6" x14ac:dyDescent="0.25">
      <c r="A3" t="s">
        <v>10</v>
      </c>
      <c r="B3" t="s">
        <v>11</v>
      </c>
      <c r="C3" t="s">
        <v>12</v>
      </c>
      <c r="D3" s="1">
        <v>0.47</v>
      </c>
      <c r="E3">
        <v>-14</v>
      </c>
      <c r="F3" t="s">
        <v>13</v>
      </c>
    </row>
    <row r="4" spans="1:6" x14ac:dyDescent="0.25">
      <c r="A4" t="s">
        <v>14</v>
      </c>
      <c r="B4" t="s">
        <v>15</v>
      </c>
      <c r="C4" t="s">
        <v>16</v>
      </c>
      <c r="D4" s="1">
        <v>0.25</v>
      </c>
      <c r="E4">
        <v>-24</v>
      </c>
      <c r="F4" t="s">
        <v>17</v>
      </c>
    </row>
    <row r="5" spans="1:6" x14ac:dyDescent="0.25">
      <c r="A5" t="s">
        <v>18</v>
      </c>
      <c r="B5" t="s">
        <v>19</v>
      </c>
      <c r="C5" t="s">
        <v>20</v>
      </c>
      <c r="D5" s="1">
        <v>0.37</v>
      </c>
      <c r="E5">
        <v>-7</v>
      </c>
      <c r="F5" t="s">
        <v>21</v>
      </c>
    </row>
    <row r="6" spans="1:6" x14ac:dyDescent="0.25">
      <c r="A6" t="s">
        <v>22</v>
      </c>
      <c r="B6" t="s">
        <v>23</v>
      </c>
      <c r="C6" t="s">
        <v>24</v>
      </c>
      <c r="D6" s="1">
        <v>0.26</v>
      </c>
      <c r="E6">
        <v>-5</v>
      </c>
      <c r="F6" t="s">
        <v>25</v>
      </c>
    </row>
    <row r="7" spans="1:6" x14ac:dyDescent="0.25">
      <c r="A7" t="s">
        <v>26</v>
      </c>
      <c r="B7" t="s">
        <v>27</v>
      </c>
      <c r="C7" t="s">
        <v>28</v>
      </c>
      <c r="D7" s="1">
        <v>0.09</v>
      </c>
      <c r="E7">
        <v>-15</v>
      </c>
      <c r="F7" t="s">
        <v>29</v>
      </c>
    </row>
    <row r="8" spans="1:6" x14ac:dyDescent="0.25">
      <c r="A8" t="s">
        <v>30</v>
      </c>
      <c r="B8" t="s">
        <v>31</v>
      </c>
      <c r="C8" t="s">
        <v>32</v>
      </c>
      <c r="D8" s="1">
        <v>0.24</v>
      </c>
      <c r="E8">
        <v>-55</v>
      </c>
      <c r="F8" t="s">
        <v>17</v>
      </c>
    </row>
    <row r="9" spans="1:6" x14ac:dyDescent="0.25">
      <c r="A9" t="s">
        <v>33</v>
      </c>
      <c r="B9" t="s">
        <v>34</v>
      </c>
      <c r="C9" t="s">
        <v>19</v>
      </c>
      <c r="D9" s="1">
        <v>0.37</v>
      </c>
      <c r="E9">
        <v>-2</v>
      </c>
      <c r="F9" t="s">
        <v>29</v>
      </c>
    </row>
    <row r="10" spans="1:6" x14ac:dyDescent="0.25">
      <c r="A10" t="s">
        <v>35</v>
      </c>
      <c r="B10" t="s">
        <v>36</v>
      </c>
      <c r="C10" t="s">
        <v>37</v>
      </c>
      <c r="D10" s="1">
        <v>0.55000000000000004</v>
      </c>
      <c r="E10">
        <v>-5</v>
      </c>
      <c r="F10" t="s">
        <v>25</v>
      </c>
    </row>
    <row r="11" spans="1:6" x14ac:dyDescent="0.25">
      <c r="A11" t="s">
        <v>38</v>
      </c>
      <c r="B11" t="s">
        <v>39</v>
      </c>
      <c r="C11" t="s">
        <v>40</v>
      </c>
      <c r="D11" s="1">
        <v>0.45</v>
      </c>
      <c r="E11">
        <v>-5</v>
      </c>
      <c r="F11" t="s">
        <v>41</v>
      </c>
    </row>
    <row r="12" spans="1:6" x14ac:dyDescent="0.25">
      <c r="A12" t="s">
        <v>42</v>
      </c>
      <c r="B12" t="s">
        <v>43</v>
      </c>
      <c r="C12" t="s">
        <v>12</v>
      </c>
      <c r="D12" s="1">
        <v>0.2</v>
      </c>
      <c r="E12">
        <v>-12</v>
      </c>
      <c r="F12" t="s">
        <v>13</v>
      </c>
    </row>
    <row r="13" spans="1:6" x14ac:dyDescent="0.25">
      <c r="A13" t="s">
        <v>44</v>
      </c>
      <c r="B13" t="s">
        <v>45</v>
      </c>
      <c r="C13" t="s">
        <v>46</v>
      </c>
      <c r="D13" s="1">
        <v>0.34</v>
      </c>
      <c r="E13">
        <v>-39</v>
      </c>
      <c r="F13" t="s">
        <v>21</v>
      </c>
    </row>
    <row r="14" spans="1:6" x14ac:dyDescent="0.25">
      <c r="A14" t="s">
        <v>47</v>
      </c>
      <c r="B14" t="s">
        <v>48</v>
      </c>
      <c r="C14" t="s">
        <v>49</v>
      </c>
      <c r="D14" s="1">
        <v>0.47</v>
      </c>
      <c r="E14">
        <v>-12</v>
      </c>
      <c r="F14" t="s">
        <v>25</v>
      </c>
    </row>
    <row r="15" spans="1:6" x14ac:dyDescent="0.25">
      <c r="A15" t="s">
        <v>50</v>
      </c>
      <c r="B15" t="s">
        <v>51</v>
      </c>
      <c r="C15" t="s">
        <v>52</v>
      </c>
      <c r="D15" s="1">
        <v>0.42</v>
      </c>
      <c r="E15">
        <v>-6</v>
      </c>
      <c r="F15" t="s">
        <v>9</v>
      </c>
    </row>
    <row r="16" spans="1:6" x14ac:dyDescent="0.25">
      <c r="A16" t="s">
        <v>53</v>
      </c>
      <c r="B16" t="s">
        <v>54</v>
      </c>
      <c r="C16" t="s">
        <v>20</v>
      </c>
      <c r="D16" s="1">
        <v>0.33</v>
      </c>
      <c r="E16">
        <v>-9</v>
      </c>
      <c r="F16" t="s">
        <v>55</v>
      </c>
    </row>
    <row r="17" spans="1:6" x14ac:dyDescent="0.25">
      <c r="A17" t="s">
        <v>56</v>
      </c>
      <c r="B17" t="s">
        <v>57</v>
      </c>
      <c r="C17" t="s">
        <v>58</v>
      </c>
      <c r="D17" s="1">
        <v>0.51</v>
      </c>
      <c r="E17">
        <v>-2</v>
      </c>
      <c r="F17" t="s">
        <v>59</v>
      </c>
    </row>
    <row r="18" spans="1:6" x14ac:dyDescent="0.25">
      <c r="A18" t="s">
        <v>60</v>
      </c>
      <c r="B18" t="s">
        <v>61</v>
      </c>
      <c r="C18" t="s">
        <v>62</v>
      </c>
      <c r="D18" s="1">
        <v>0.46</v>
      </c>
      <c r="E18">
        <v>-2</v>
      </c>
      <c r="F18" t="s">
        <v>59</v>
      </c>
    </row>
    <row r="19" spans="1:6" x14ac:dyDescent="0.25">
      <c r="A19" t="s">
        <v>63</v>
      </c>
      <c r="B19" t="s">
        <v>64</v>
      </c>
      <c r="C19" t="s">
        <v>65</v>
      </c>
      <c r="D19" s="1">
        <v>0.49</v>
      </c>
      <c r="E19">
        <v>-3</v>
      </c>
      <c r="F19" t="s">
        <v>59</v>
      </c>
    </row>
    <row r="20" spans="1:6" x14ac:dyDescent="0.25">
      <c r="A20" t="s">
        <v>66</v>
      </c>
      <c r="B20" t="s">
        <v>27</v>
      </c>
      <c r="C20" t="s">
        <v>67</v>
      </c>
      <c r="D20" s="1">
        <v>0.19</v>
      </c>
      <c r="E20">
        <v>-5</v>
      </c>
      <c r="F20" t="s">
        <v>17</v>
      </c>
    </row>
    <row r="21" spans="1:6" x14ac:dyDescent="0.25">
      <c r="A21" t="s">
        <v>68</v>
      </c>
      <c r="B21" t="s">
        <v>69</v>
      </c>
      <c r="C21" t="s">
        <v>70</v>
      </c>
      <c r="D21" s="1">
        <v>0.49</v>
      </c>
      <c r="E21">
        <v>-44</v>
      </c>
      <c r="F21" t="s">
        <v>17</v>
      </c>
    </row>
    <row r="22" spans="1:6" x14ac:dyDescent="0.25">
      <c r="A22" t="s">
        <v>71</v>
      </c>
      <c r="B22" t="s">
        <v>72</v>
      </c>
      <c r="C22" t="s">
        <v>73</v>
      </c>
      <c r="D22" s="1">
        <v>0.53</v>
      </c>
      <c r="E22">
        <v>-13</v>
      </c>
      <c r="F22" t="s">
        <v>74</v>
      </c>
    </row>
    <row r="23" spans="1:6" x14ac:dyDescent="0.25">
      <c r="A23" t="s">
        <v>75</v>
      </c>
      <c r="B23" t="s">
        <v>76</v>
      </c>
      <c r="C23" t="s">
        <v>77</v>
      </c>
      <c r="D23" s="1">
        <v>0.42</v>
      </c>
    </row>
    <row r="24" spans="1:6" x14ac:dyDescent="0.25">
      <c r="A24" t="s">
        <v>78</v>
      </c>
      <c r="B24" t="s">
        <v>79</v>
      </c>
      <c r="C24" t="s">
        <v>80</v>
      </c>
      <c r="D24" s="1">
        <v>0.35</v>
      </c>
      <c r="E24">
        <v>-6</v>
      </c>
      <c r="F24" t="s">
        <v>29</v>
      </c>
    </row>
    <row r="25" spans="1:6" x14ac:dyDescent="0.25">
      <c r="A25" t="s">
        <v>81</v>
      </c>
      <c r="B25" t="s">
        <v>82</v>
      </c>
      <c r="C25" t="s">
        <v>83</v>
      </c>
      <c r="D25" s="1">
        <v>0.23</v>
      </c>
      <c r="E25">
        <v>-14</v>
      </c>
      <c r="F25" t="s">
        <v>84</v>
      </c>
    </row>
    <row r="26" spans="1:6" x14ac:dyDescent="0.25">
      <c r="A26" t="s">
        <v>85</v>
      </c>
      <c r="B26" t="s">
        <v>86</v>
      </c>
      <c r="C26" t="s">
        <v>87</v>
      </c>
      <c r="D26" s="1">
        <v>0.54</v>
      </c>
      <c r="E26">
        <v>-7</v>
      </c>
      <c r="F26" t="s">
        <v>88</v>
      </c>
    </row>
    <row r="27" spans="1:6" x14ac:dyDescent="0.25">
      <c r="A27" t="s">
        <v>89</v>
      </c>
      <c r="B27" t="s">
        <v>90</v>
      </c>
      <c r="C27" t="s">
        <v>91</v>
      </c>
      <c r="D27" s="1">
        <v>0.35</v>
      </c>
      <c r="E27">
        <v>-49</v>
      </c>
      <c r="F27" t="s">
        <v>17</v>
      </c>
    </row>
    <row r="28" spans="1:6" x14ac:dyDescent="0.25">
      <c r="A28" t="s">
        <v>92</v>
      </c>
      <c r="B28" t="s">
        <v>93</v>
      </c>
      <c r="C28" t="s">
        <v>94</v>
      </c>
      <c r="D28" s="1">
        <v>0.18</v>
      </c>
      <c r="E28">
        <v>-12</v>
      </c>
      <c r="F28" t="s">
        <v>41</v>
      </c>
    </row>
    <row r="29" spans="1:6" x14ac:dyDescent="0.25">
      <c r="A29" t="s">
        <v>95</v>
      </c>
      <c r="B29" t="s">
        <v>80</v>
      </c>
      <c r="C29" t="s">
        <v>96</v>
      </c>
      <c r="D29" s="1">
        <v>0.32</v>
      </c>
      <c r="E29">
        <v>-13</v>
      </c>
      <c r="F29" t="s">
        <v>41</v>
      </c>
    </row>
    <row r="30" spans="1:6" x14ac:dyDescent="0.25">
      <c r="A30" t="s">
        <v>97</v>
      </c>
      <c r="B30" t="s">
        <v>98</v>
      </c>
      <c r="C30" t="s">
        <v>20</v>
      </c>
      <c r="D30" s="1">
        <v>0.3</v>
      </c>
      <c r="E30">
        <v>-20</v>
      </c>
      <c r="F30" t="s">
        <v>13</v>
      </c>
    </row>
    <row r="31" spans="1:6" x14ac:dyDescent="0.25">
      <c r="A31" t="s">
        <v>99</v>
      </c>
      <c r="B31" t="s">
        <v>100</v>
      </c>
      <c r="C31" t="s">
        <v>101</v>
      </c>
      <c r="D31" s="1">
        <v>0.46</v>
      </c>
    </row>
    <row r="32" spans="1:6" x14ac:dyDescent="0.25">
      <c r="A32" t="s">
        <v>102</v>
      </c>
      <c r="B32" t="s">
        <v>103</v>
      </c>
      <c r="C32" t="s">
        <v>104</v>
      </c>
      <c r="D32" s="1">
        <v>0.52</v>
      </c>
      <c r="E32">
        <v>-9</v>
      </c>
      <c r="F32" t="s">
        <v>88</v>
      </c>
    </row>
    <row r="33" spans="1:6" x14ac:dyDescent="0.25">
      <c r="A33" t="s">
        <v>105</v>
      </c>
      <c r="B33" t="s">
        <v>106</v>
      </c>
      <c r="C33" t="s">
        <v>107</v>
      </c>
      <c r="D33" s="1">
        <v>0.34</v>
      </c>
      <c r="E33">
        <v>-12</v>
      </c>
      <c r="F33" t="s">
        <v>21</v>
      </c>
    </row>
    <row r="34" spans="1:6" x14ac:dyDescent="0.25">
      <c r="A34" t="s">
        <v>108</v>
      </c>
      <c r="B34" t="s">
        <v>109</v>
      </c>
      <c r="C34" t="s">
        <v>110</v>
      </c>
      <c r="D34" s="1">
        <v>0.48</v>
      </c>
      <c r="E34">
        <v>-9</v>
      </c>
      <c r="F34" t="s">
        <v>88</v>
      </c>
    </row>
    <row r="35" spans="1:6" x14ac:dyDescent="0.25">
      <c r="A35" t="s">
        <v>111</v>
      </c>
      <c r="B35" t="s">
        <v>112</v>
      </c>
      <c r="C35" t="s">
        <v>113</v>
      </c>
      <c r="D35" s="1">
        <v>0.27</v>
      </c>
      <c r="E35">
        <v>-20</v>
      </c>
      <c r="F35" t="s">
        <v>21</v>
      </c>
    </row>
    <row r="36" spans="1:6" x14ac:dyDescent="0.25">
      <c r="A36" t="s">
        <v>114</v>
      </c>
      <c r="B36" t="s">
        <v>115</v>
      </c>
      <c r="C36" t="s">
        <v>116</v>
      </c>
      <c r="D36" s="1">
        <v>0.27</v>
      </c>
      <c r="E36">
        <v>-32</v>
      </c>
      <c r="F36" t="s">
        <v>9</v>
      </c>
    </row>
    <row r="37" spans="1:6" x14ac:dyDescent="0.25">
      <c r="A37" t="s">
        <v>117</v>
      </c>
      <c r="B37" t="s">
        <v>118</v>
      </c>
      <c r="C37" t="s">
        <v>119</v>
      </c>
      <c r="D37" s="1">
        <v>0.4</v>
      </c>
      <c r="E37">
        <v>-1</v>
      </c>
      <c r="F37" t="s">
        <v>59</v>
      </c>
    </row>
    <row r="38" spans="1:6" x14ac:dyDescent="0.25">
      <c r="A38" t="s">
        <v>120</v>
      </c>
      <c r="B38" t="s">
        <v>121</v>
      </c>
      <c r="C38" t="s">
        <v>62</v>
      </c>
      <c r="D38" s="1">
        <v>0.53</v>
      </c>
      <c r="E38">
        <v>-2</v>
      </c>
      <c r="F38" t="s">
        <v>59</v>
      </c>
    </row>
    <row r="39" spans="1:6" x14ac:dyDescent="0.25">
      <c r="A39" t="s">
        <v>122</v>
      </c>
      <c r="B39" t="s">
        <v>123</v>
      </c>
      <c r="C39" t="s">
        <v>124</v>
      </c>
      <c r="D39" s="1">
        <v>0.41</v>
      </c>
      <c r="E39">
        <v>-36</v>
      </c>
      <c r="F39" t="s">
        <v>88</v>
      </c>
    </row>
    <row r="40" spans="1:6" x14ac:dyDescent="0.25">
      <c r="A40" t="s">
        <v>125</v>
      </c>
      <c r="B40" t="s">
        <v>126</v>
      </c>
      <c r="C40" t="s">
        <v>127</v>
      </c>
      <c r="D40" s="1">
        <v>0.38</v>
      </c>
      <c r="E40">
        <v>-2</v>
      </c>
      <c r="F40" t="s">
        <v>9</v>
      </c>
    </row>
    <row r="41" spans="1:6" x14ac:dyDescent="0.25">
      <c r="A41" t="s">
        <v>128</v>
      </c>
      <c r="B41" t="s">
        <v>129</v>
      </c>
      <c r="C41" t="s">
        <v>130</v>
      </c>
      <c r="D41" s="1">
        <v>0.38</v>
      </c>
    </row>
    <row r="42" spans="1:6" x14ac:dyDescent="0.25">
      <c r="A42" t="s">
        <v>131</v>
      </c>
      <c r="B42" t="s">
        <v>132</v>
      </c>
      <c r="C42" t="s">
        <v>133</v>
      </c>
      <c r="D42" s="1">
        <v>0.49</v>
      </c>
    </row>
    <row r="43" spans="1:6" x14ac:dyDescent="0.25">
      <c r="A43" t="s">
        <v>134</v>
      </c>
      <c r="B43" t="s">
        <v>135</v>
      </c>
      <c r="C43" t="s">
        <v>136</v>
      </c>
      <c r="D43" s="1">
        <v>0.5</v>
      </c>
    </row>
    <row r="44" spans="1:6" x14ac:dyDescent="0.25">
      <c r="A44" t="s">
        <v>137</v>
      </c>
      <c r="B44" t="s">
        <v>138</v>
      </c>
      <c r="C44" t="s">
        <v>139</v>
      </c>
      <c r="D44" s="1">
        <v>0.42</v>
      </c>
    </row>
    <row r="45" spans="1:6" x14ac:dyDescent="0.25">
      <c r="A45" t="s">
        <v>137</v>
      </c>
      <c r="B45" t="s">
        <v>138</v>
      </c>
      <c r="C45" t="s">
        <v>139</v>
      </c>
      <c r="D45" s="1">
        <v>0.42</v>
      </c>
    </row>
    <row r="46" spans="1:6" x14ac:dyDescent="0.25">
      <c r="A46" t="s">
        <v>140</v>
      </c>
      <c r="B46" t="s">
        <v>141</v>
      </c>
      <c r="C46" t="s">
        <v>142</v>
      </c>
      <c r="D46" s="1">
        <v>0.02</v>
      </c>
    </row>
    <row r="47" spans="1:6" x14ac:dyDescent="0.25">
      <c r="A47" t="s">
        <v>143</v>
      </c>
      <c r="B47" t="s">
        <v>12</v>
      </c>
      <c r="C47" t="s">
        <v>144</v>
      </c>
      <c r="D47" s="1">
        <v>0.5</v>
      </c>
    </row>
    <row r="48" spans="1:6" x14ac:dyDescent="0.25">
      <c r="A48" t="s">
        <v>145</v>
      </c>
      <c r="B48" t="s">
        <v>146</v>
      </c>
      <c r="C48" t="s">
        <v>147</v>
      </c>
      <c r="D48" s="1">
        <v>0.33</v>
      </c>
    </row>
    <row r="49" spans="1:6" x14ac:dyDescent="0.25">
      <c r="A49" t="s">
        <v>148</v>
      </c>
      <c r="B49" t="s">
        <v>149</v>
      </c>
      <c r="C49" t="s">
        <v>150</v>
      </c>
      <c r="D49" s="1">
        <v>0.49</v>
      </c>
    </row>
    <row r="50" spans="1:6" x14ac:dyDescent="0.25">
      <c r="A50" t="s">
        <v>151</v>
      </c>
      <c r="B50" t="s">
        <v>152</v>
      </c>
      <c r="C50" t="s">
        <v>153</v>
      </c>
      <c r="D50" s="1">
        <v>0.38</v>
      </c>
    </row>
    <row r="51" spans="1:6" x14ac:dyDescent="0.25">
      <c r="A51" t="s">
        <v>154</v>
      </c>
      <c r="B51" t="s">
        <v>155</v>
      </c>
      <c r="C51" t="s">
        <v>156</v>
      </c>
      <c r="D51" s="1">
        <v>0.61</v>
      </c>
    </row>
    <row r="52" spans="1:6" x14ac:dyDescent="0.25">
      <c r="A52" t="s">
        <v>157</v>
      </c>
      <c r="B52" t="s">
        <v>158</v>
      </c>
      <c r="C52" t="s">
        <v>159</v>
      </c>
      <c r="D52" s="1">
        <v>0.5</v>
      </c>
    </row>
    <row r="53" spans="1:6" x14ac:dyDescent="0.25">
      <c r="A53" t="s">
        <v>160</v>
      </c>
      <c r="B53" t="s">
        <v>161</v>
      </c>
      <c r="C53" t="s">
        <v>162</v>
      </c>
      <c r="D53" s="1">
        <v>0.02</v>
      </c>
    </row>
    <row r="54" spans="1:6" x14ac:dyDescent="0.25">
      <c r="A54" t="s">
        <v>163</v>
      </c>
      <c r="B54" t="s">
        <v>158</v>
      </c>
      <c r="C54" t="s">
        <v>164</v>
      </c>
      <c r="D54" s="1">
        <v>0.22</v>
      </c>
    </row>
    <row r="55" spans="1:6" x14ac:dyDescent="0.25">
      <c r="A55" t="s">
        <v>165</v>
      </c>
      <c r="B55" t="s">
        <v>166</v>
      </c>
      <c r="C55" t="s">
        <v>167</v>
      </c>
      <c r="D55" s="1">
        <v>0.03</v>
      </c>
    </row>
    <row r="56" spans="1:6" x14ac:dyDescent="0.25">
      <c r="A56" t="s">
        <v>168</v>
      </c>
      <c r="B56" t="s">
        <v>43</v>
      </c>
      <c r="C56" t="s">
        <v>169</v>
      </c>
      <c r="D56" s="1">
        <v>0.41</v>
      </c>
    </row>
    <row r="57" spans="1:6" x14ac:dyDescent="0.25">
      <c r="A57" t="s">
        <v>170</v>
      </c>
      <c r="B57" t="s">
        <v>171</v>
      </c>
      <c r="C57" t="s">
        <v>172</v>
      </c>
      <c r="D57" s="1">
        <v>0.45</v>
      </c>
    </row>
    <row r="58" spans="1:6" x14ac:dyDescent="0.25">
      <c r="A58" t="s">
        <v>173</v>
      </c>
      <c r="B58" t="s">
        <v>174</v>
      </c>
      <c r="C58" t="s">
        <v>169</v>
      </c>
      <c r="D58" s="1">
        <v>0.48</v>
      </c>
    </row>
    <row r="59" spans="1:6" x14ac:dyDescent="0.25">
      <c r="A59" t="s">
        <v>175</v>
      </c>
      <c r="B59" t="s">
        <v>43</v>
      </c>
      <c r="C59" t="s">
        <v>176</v>
      </c>
      <c r="D59" s="1">
        <v>0.49</v>
      </c>
    </row>
    <row r="60" spans="1:6" x14ac:dyDescent="0.25">
      <c r="A60" t="s">
        <v>177</v>
      </c>
      <c r="B60" t="s">
        <v>178</v>
      </c>
      <c r="C60" t="s">
        <v>179</v>
      </c>
      <c r="D60" s="1">
        <v>0.27</v>
      </c>
    </row>
    <row r="61" spans="1:6" x14ac:dyDescent="0.25">
      <c r="A61" t="s">
        <v>170</v>
      </c>
      <c r="B61" t="s">
        <v>180</v>
      </c>
      <c r="C61" t="s">
        <v>181</v>
      </c>
      <c r="D61" s="1">
        <v>0.55000000000000004</v>
      </c>
    </row>
    <row r="62" spans="1:6" x14ac:dyDescent="0.25">
      <c r="A62" t="s">
        <v>182</v>
      </c>
      <c r="B62" t="s">
        <v>183</v>
      </c>
      <c r="C62" t="s">
        <v>184</v>
      </c>
      <c r="D62" s="1">
        <v>0.13</v>
      </c>
      <c r="E62">
        <v>-6</v>
      </c>
      <c r="F62" t="s">
        <v>185</v>
      </c>
    </row>
    <row r="63" spans="1:6" x14ac:dyDescent="0.25">
      <c r="A63" t="s">
        <v>186</v>
      </c>
      <c r="B63" t="s">
        <v>187</v>
      </c>
      <c r="C63" t="s">
        <v>188</v>
      </c>
      <c r="D63" s="1">
        <v>0.54</v>
      </c>
      <c r="E63">
        <v>-10</v>
      </c>
      <c r="F63" t="s">
        <v>189</v>
      </c>
    </row>
    <row r="64" spans="1:6" x14ac:dyDescent="0.25">
      <c r="A64" t="s">
        <v>190</v>
      </c>
      <c r="B64" t="s">
        <v>191</v>
      </c>
      <c r="C64" t="s">
        <v>192</v>
      </c>
      <c r="D64" s="1">
        <v>0.55000000000000004</v>
      </c>
      <c r="E64">
        <v>-13</v>
      </c>
      <c r="F64" t="s">
        <v>193</v>
      </c>
    </row>
    <row r="65" spans="1:6" x14ac:dyDescent="0.25">
      <c r="A65" t="s">
        <v>194</v>
      </c>
      <c r="B65" t="s">
        <v>195</v>
      </c>
      <c r="C65" t="s">
        <v>196</v>
      </c>
      <c r="D65" s="1">
        <v>0.49</v>
      </c>
      <c r="E65">
        <v>-69</v>
      </c>
      <c r="F65" t="s">
        <v>197</v>
      </c>
    </row>
    <row r="66" spans="1:6" x14ac:dyDescent="0.25">
      <c r="A66" t="s">
        <v>198</v>
      </c>
      <c r="B66" t="s">
        <v>199</v>
      </c>
      <c r="C66" t="s">
        <v>200</v>
      </c>
      <c r="D66" s="1">
        <v>0.52</v>
      </c>
      <c r="E66">
        <v>-15</v>
      </c>
      <c r="F66" t="s">
        <v>201</v>
      </c>
    </row>
    <row r="67" spans="1:6" x14ac:dyDescent="0.25">
      <c r="A67" t="s">
        <v>202</v>
      </c>
      <c r="B67" t="s">
        <v>203</v>
      </c>
      <c r="C67" t="s">
        <v>204</v>
      </c>
      <c r="D67" s="1">
        <v>0.22</v>
      </c>
      <c r="E67">
        <v>-16</v>
      </c>
      <c r="F67" t="s">
        <v>205</v>
      </c>
    </row>
    <row r="68" spans="1:6" x14ac:dyDescent="0.25">
      <c r="A68" t="s">
        <v>206</v>
      </c>
      <c r="B68" t="s">
        <v>45</v>
      </c>
      <c r="C68" t="s">
        <v>207</v>
      </c>
      <c r="D68" s="1">
        <v>0.45</v>
      </c>
      <c r="E68">
        <v>-6</v>
      </c>
      <c r="F68" t="s">
        <v>208</v>
      </c>
    </row>
    <row r="69" spans="1:6" x14ac:dyDescent="0.25">
      <c r="A69" t="s">
        <v>209</v>
      </c>
      <c r="B69" t="s">
        <v>210</v>
      </c>
      <c r="C69" t="s">
        <v>144</v>
      </c>
      <c r="D69" s="1">
        <v>0.5</v>
      </c>
      <c r="E69">
        <v>-7</v>
      </c>
      <c r="F69" t="s">
        <v>211</v>
      </c>
    </row>
    <row r="70" spans="1:6" x14ac:dyDescent="0.25">
      <c r="A70" t="s">
        <v>212</v>
      </c>
      <c r="B70" t="s">
        <v>213</v>
      </c>
      <c r="C70" t="s">
        <v>214</v>
      </c>
      <c r="D70" s="1">
        <v>0.39</v>
      </c>
      <c r="E70">
        <v>-5</v>
      </c>
      <c r="F70" t="s">
        <v>189</v>
      </c>
    </row>
    <row r="71" spans="1:6" x14ac:dyDescent="0.25">
      <c r="A71" t="s">
        <v>215</v>
      </c>
      <c r="B71" t="s">
        <v>104</v>
      </c>
      <c r="C71" t="s">
        <v>216</v>
      </c>
      <c r="D71" s="1">
        <v>0.45</v>
      </c>
      <c r="E71">
        <v>-17</v>
      </c>
      <c r="F71" t="s">
        <v>217</v>
      </c>
    </row>
    <row r="72" spans="1:6" x14ac:dyDescent="0.25">
      <c r="A72" t="s">
        <v>218</v>
      </c>
      <c r="B72" t="s">
        <v>219</v>
      </c>
      <c r="C72" t="s">
        <v>220</v>
      </c>
      <c r="D72" s="1">
        <v>0.28999999999999998</v>
      </c>
      <c r="E72">
        <v>-5</v>
      </c>
      <c r="F72" t="s">
        <v>189</v>
      </c>
    </row>
    <row r="73" spans="1:6" x14ac:dyDescent="0.25">
      <c r="A73" t="s">
        <v>221</v>
      </c>
      <c r="B73" t="s">
        <v>222</v>
      </c>
      <c r="C73" t="s">
        <v>223</v>
      </c>
      <c r="D73" s="1">
        <v>0.43</v>
      </c>
      <c r="E73">
        <v>-6</v>
      </c>
      <c r="F73" t="s">
        <v>211</v>
      </c>
    </row>
    <row r="74" spans="1:6" x14ac:dyDescent="0.25">
      <c r="A74" t="s">
        <v>224</v>
      </c>
      <c r="B74" t="s">
        <v>225</v>
      </c>
      <c r="C74" t="s">
        <v>226</v>
      </c>
      <c r="D74" s="1">
        <v>0.43</v>
      </c>
      <c r="E74">
        <v>-5</v>
      </c>
      <c r="F74" t="s">
        <v>189</v>
      </c>
    </row>
    <row r="75" spans="1:6" x14ac:dyDescent="0.25">
      <c r="A75" t="s">
        <v>227</v>
      </c>
      <c r="B75" t="s">
        <v>228</v>
      </c>
      <c r="C75" t="s">
        <v>207</v>
      </c>
      <c r="D75" s="1">
        <v>0.47</v>
      </c>
      <c r="E75">
        <v>-6</v>
      </c>
      <c r="F75" t="s">
        <v>208</v>
      </c>
    </row>
    <row r="76" spans="1:6" x14ac:dyDescent="0.25">
      <c r="A76" t="s">
        <v>229</v>
      </c>
      <c r="B76" t="s">
        <v>230</v>
      </c>
      <c r="C76" t="s">
        <v>231</v>
      </c>
      <c r="D76" s="1">
        <v>0.47</v>
      </c>
      <c r="E76">
        <v>-7</v>
      </c>
      <c r="F76" t="s">
        <v>193</v>
      </c>
    </row>
    <row r="77" spans="1:6" x14ac:dyDescent="0.25">
      <c r="A77" t="s">
        <v>232</v>
      </c>
      <c r="B77" t="s">
        <v>233</v>
      </c>
      <c r="C77" t="s">
        <v>234</v>
      </c>
      <c r="D77" s="1">
        <v>0.47</v>
      </c>
    </row>
    <row r="78" spans="1:6" x14ac:dyDescent="0.25">
      <c r="A78" t="s">
        <v>235</v>
      </c>
      <c r="B78" t="s">
        <v>236</v>
      </c>
      <c r="C78" t="s">
        <v>152</v>
      </c>
      <c r="D78" s="1">
        <v>0.43</v>
      </c>
    </row>
    <row r="79" spans="1:6" x14ac:dyDescent="0.25">
      <c r="A79" t="s">
        <v>237</v>
      </c>
      <c r="B79" t="s">
        <v>238</v>
      </c>
      <c r="C79" t="s">
        <v>239</v>
      </c>
      <c r="D79" s="1">
        <v>0.04</v>
      </c>
    </row>
    <row r="80" spans="1:6" x14ac:dyDescent="0.25">
      <c r="A80" t="s">
        <v>240</v>
      </c>
      <c r="B80" t="s">
        <v>241</v>
      </c>
      <c r="C80" t="s">
        <v>242</v>
      </c>
      <c r="D80" s="1">
        <v>0.49</v>
      </c>
    </row>
    <row r="81" spans="1:6" x14ac:dyDescent="0.25">
      <c r="A81" t="s">
        <v>243</v>
      </c>
      <c r="B81" t="s">
        <v>244</v>
      </c>
      <c r="C81" t="s">
        <v>15</v>
      </c>
      <c r="D81" s="1">
        <v>0.46</v>
      </c>
      <c r="E81">
        <v>-1</v>
      </c>
      <c r="F81" t="s">
        <v>189</v>
      </c>
    </row>
    <row r="82" spans="1:6" x14ac:dyDescent="0.25">
      <c r="A82" t="s">
        <v>245</v>
      </c>
      <c r="B82" t="s">
        <v>246</v>
      </c>
      <c r="C82" t="s">
        <v>247</v>
      </c>
      <c r="D82" s="1">
        <v>0.49</v>
      </c>
      <c r="E82">
        <v>-1</v>
      </c>
      <c r="F82" t="s">
        <v>59</v>
      </c>
    </row>
    <row r="83" spans="1:6" x14ac:dyDescent="0.25">
      <c r="A83" t="s">
        <v>248</v>
      </c>
      <c r="B83" t="s">
        <v>249</v>
      </c>
      <c r="C83" t="s">
        <v>250</v>
      </c>
      <c r="D83" s="1">
        <v>0.36</v>
      </c>
    </row>
    <row r="84" spans="1:6" x14ac:dyDescent="0.25">
      <c r="A84" t="s">
        <v>251</v>
      </c>
      <c r="B84" t="s">
        <v>252</v>
      </c>
      <c r="C84" t="s">
        <v>162</v>
      </c>
      <c r="D84" s="1">
        <v>0.02</v>
      </c>
    </row>
    <row r="85" spans="1:6" x14ac:dyDescent="0.25">
      <c r="A85" t="s">
        <v>253</v>
      </c>
      <c r="B85" t="s">
        <v>254</v>
      </c>
      <c r="C85" t="s">
        <v>91</v>
      </c>
      <c r="D85" s="1">
        <v>0.49</v>
      </c>
      <c r="E85">
        <v>-1</v>
      </c>
      <c r="F85" t="s">
        <v>29</v>
      </c>
    </row>
    <row r="86" spans="1:6" x14ac:dyDescent="0.25">
      <c r="A86" t="s">
        <v>137</v>
      </c>
      <c r="B86" t="s">
        <v>138</v>
      </c>
      <c r="C86" t="s">
        <v>139</v>
      </c>
      <c r="D86" s="1">
        <v>0.42</v>
      </c>
    </row>
    <row r="87" spans="1:6" x14ac:dyDescent="0.25">
      <c r="A87" t="s">
        <v>154</v>
      </c>
      <c r="B87" t="s">
        <v>255</v>
      </c>
      <c r="C87" t="s">
        <v>222</v>
      </c>
      <c r="D87" s="1">
        <v>0.49</v>
      </c>
    </row>
    <row r="88" spans="1:6" x14ac:dyDescent="0.25">
      <c r="A88" t="s">
        <v>256</v>
      </c>
      <c r="B88" t="s">
        <v>257</v>
      </c>
      <c r="C88" t="s">
        <v>162</v>
      </c>
      <c r="D88" s="1">
        <v>0.14000000000000001</v>
      </c>
    </row>
    <row r="89" spans="1:6" x14ac:dyDescent="0.25">
      <c r="A89" t="s">
        <v>258</v>
      </c>
      <c r="B89" t="s">
        <v>259</v>
      </c>
      <c r="C89" t="s">
        <v>260</v>
      </c>
      <c r="D89" s="1">
        <v>0.49</v>
      </c>
    </row>
    <row r="90" spans="1:6" x14ac:dyDescent="0.25">
      <c r="A90" t="s">
        <v>261</v>
      </c>
      <c r="B90" t="s">
        <v>43</v>
      </c>
      <c r="C90" t="s">
        <v>172</v>
      </c>
      <c r="D90" s="1">
        <v>0.11</v>
      </c>
    </row>
    <row r="91" spans="1:6" x14ac:dyDescent="0.25">
      <c r="A91" t="s">
        <v>175</v>
      </c>
      <c r="B91" t="s">
        <v>262</v>
      </c>
      <c r="C91" t="s">
        <v>263</v>
      </c>
      <c r="D91" s="1">
        <v>0.49</v>
      </c>
    </row>
    <row r="92" spans="1:6" x14ac:dyDescent="0.25">
      <c r="A92" t="s">
        <v>264</v>
      </c>
      <c r="B92" t="s">
        <v>265</v>
      </c>
      <c r="C92" t="s">
        <v>162</v>
      </c>
      <c r="D92" s="1">
        <v>0.14000000000000001</v>
      </c>
    </row>
    <row r="93" spans="1:6" x14ac:dyDescent="0.25">
      <c r="A93" t="s">
        <v>266</v>
      </c>
      <c r="B93" t="s">
        <v>267</v>
      </c>
      <c r="C93" t="s">
        <v>268</v>
      </c>
      <c r="D93" s="1">
        <v>0.43</v>
      </c>
    </row>
    <row r="94" spans="1:6" x14ac:dyDescent="0.25">
      <c r="A94" t="s">
        <v>269</v>
      </c>
      <c r="B94" t="s">
        <v>270</v>
      </c>
      <c r="C94" t="s">
        <v>271</v>
      </c>
      <c r="D94" s="1">
        <v>0.5</v>
      </c>
    </row>
    <row r="95" spans="1:6" x14ac:dyDescent="0.25">
      <c r="A95" t="s">
        <v>272</v>
      </c>
      <c r="B95" t="s">
        <v>273</v>
      </c>
      <c r="C95" t="s">
        <v>184</v>
      </c>
      <c r="D95" s="1">
        <v>0.48</v>
      </c>
    </row>
    <row r="96" spans="1:6" x14ac:dyDescent="0.25">
      <c r="A96" t="s">
        <v>274</v>
      </c>
      <c r="B96" t="s">
        <v>275</v>
      </c>
      <c r="C96" t="s">
        <v>276</v>
      </c>
      <c r="D96" s="1">
        <v>0.48</v>
      </c>
    </row>
    <row r="97" spans="1:6" x14ac:dyDescent="0.25">
      <c r="A97" t="s">
        <v>277</v>
      </c>
      <c r="B97" t="s">
        <v>226</v>
      </c>
      <c r="C97" t="s">
        <v>162</v>
      </c>
      <c r="D97" s="1">
        <v>0.47</v>
      </c>
    </row>
    <row r="98" spans="1:6" x14ac:dyDescent="0.25">
      <c r="A98" t="s">
        <v>277</v>
      </c>
      <c r="B98" t="s">
        <v>226</v>
      </c>
      <c r="C98" t="s">
        <v>162</v>
      </c>
      <c r="D98" s="1">
        <v>0.47</v>
      </c>
    </row>
    <row r="99" spans="1:6" x14ac:dyDescent="0.25">
      <c r="A99" t="s">
        <v>278</v>
      </c>
      <c r="B99" t="s">
        <v>152</v>
      </c>
      <c r="C99" t="s">
        <v>279</v>
      </c>
      <c r="D99" s="1">
        <v>0.5</v>
      </c>
    </row>
    <row r="100" spans="1:6" x14ac:dyDescent="0.25">
      <c r="A100" t="s">
        <v>280</v>
      </c>
      <c r="B100" t="s">
        <v>281</v>
      </c>
      <c r="C100" t="s">
        <v>161</v>
      </c>
      <c r="D100" s="1">
        <v>0.08</v>
      </c>
    </row>
    <row r="101" spans="1:6" x14ac:dyDescent="0.25">
      <c r="A101" t="s">
        <v>282</v>
      </c>
      <c r="B101" t="s">
        <v>283</v>
      </c>
      <c r="C101" t="s">
        <v>167</v>
      </c>
      <c r="D101" s="1">
        <v>0.02</v>
      </c>
    </row>
    <row r="102" spans="1:6" x14ac:dyDescent="0.25">
      <c r="A102" t="s">
        <v>284</v>
      </c>
      <c r="B102" t="s">
        <v>285</v>
      </c>
      <c r="C102" t="s">
        <v>286</v>
      </c>
      <c r="D102" s="1">
        <v>0.49</v>
      </c>
    </row>
    <row r="103" spans="1:6" x14ac:dyDescent="0.25">
      <c r="A103" t="s">
        <v>287</v>
      </c>
      <c r="B103" t="s">
        <v>288</v>
      </c>
      <c r="C103" t="s">
        <v>67</v>
      </c>
      <c r="D103" s="1">
        <v>0.04</v>
      </c>
    </row>
    <row r="104" spans="1:6" x14ac:dyDescent="0.25">
      <c r="A104" t="s">
        <v>289</v>
      </c>
      <c r="B104" t="s">
        <v>290</v>
      </c>
      <c r="C104" t="s">
        <v>291</v>
      </c>
      <c r="D104" s="1">
        <v>0.49</v>
      </c>
    </row>
    <row r="105" spans="1:6" x14ac:dyDescent="0.25">
      <c r="A105" t="s">
        <v>292</v>
      </c>
      <c r="B105" t="s">
        <v>293</v>
      </c>
      <c r="C105" t="s">
        <v>294</v>
      </c>
      <c r="D105" s="1">
        <v>0.42</v>
      </c>
    </row>
    <row r="106" spans="1:6" x14ac:dyDescent="0.25">
      <c r="A106" t="s">
        <v>295</v>
      </c>
      <c r="B106" t="s">
        <v>296</v>
      </c>
      <c r="C106" t="s">
        <v>297</v>
      </c>
      <c r="D106" s="1">
        <v>0.21</v>
      </c>
      <c r="E106">
        <v>-1</v>
      </c>
      <c r="F106" t="s">
        <v>59</v>
      </c>
    </row>
    <row r="107" spans="1:6" x14ac:dyDescent="0.25">
      <c r="A107" t="s">
        <v>298</v>
      </c>
      <c r="B107" t="s">
        <v>299</v>
      </c>
      <c r="C107" t="s">
        <v>300</v>
      </c>
      <c r="D107" s="1">
        <v>0.41</v>
      </c>
    </row>
    <row r="108" spans="1:6" x14ac:dyDescent="0.25">
      <c r="A108" t="s">
        <v>301</v>
      </c>
      <c r="B108" t="s">
        <v>302</v>
      </c>
      <c r="C108" t="s">
        <v>303</v>
      </c>
      <c r="D108" s="1">
        <v>0.01</v>
      </c>
    </row>
    <row r="109" spans="1:6" x14ac:dyDescent="0.25">
      <c r="A109" t="s">
        <v>304</v>
      </c>
      <c r="B109" t="s">
        <v>305</v>
      </c>
      <c r="C109" t="s">
        <v>306</v>
      </c>
      <c r="D109" s="1">
        <v>0.24</v>
      </c>
    </row>
    <row r="110" spans="1:6" x14ac:dyDescent="0.25">
      <c r="A110" t="s">
        <v>307</v>
      </c>
      <c r="B110" t="s">
        <v>308</v>
      </c>
      <c r="C110" t="s">
        <v>309</v>
      </c>
      <c r="D110" s="1">
        <v>0.34</v>
      </c>
    </row>
    <row r="111" spans="1:6" x14ac:dyDescent="0.25">
      <c r="A111" t="s">
        <v>310</v>
      </c>
      <c r="B111" t="s">
        <v>146</v>
      </c>
      <c r="C111" t="s">
        <v>311</v>
      </c>
      <c r="D111" s="1">
        <v>0.34</v>
      </c>
    </row>
    <row r="112" spans="1:6" x14ac:dyDescent="0.25">
      <c r="A112" t="s">
        <v>312</v>
      </c>
      <c r="B112" t="s">
        <v>313</v>
      </c>
      <c r="C112" t="s">
        <v>162</v>
      </c>
      <c r="D112" s="1">
        <v>0.02</v>
      </c>
    </row>
    <row r="113" spans="1:6" x14ac:dyDescent="0.25">
      <c r="A113" t="s">
        <v>314</v>
      </c>
      <c r="B113" t="s">
        <v>315</v>
      </c>
      <c r="C113" t="s">
        <v>239</v>
      </c>
      <c r="D113" s="1">
        <v>0.02</v>
      </c>
    </row>
    <row r="114" spans="1:6" x14ac:dyDescent="0.25">
      <c r="A114" t="s">
        <v>316</v>
      </c>
      <c r="B114" t="s">
        <v>155</v>
      </c>
      <c r="C114" t="s">
        <v>317</v>
      </c>
      <c r="D114" s="1">
        <v>0.64</v>
      </c>
    </row>
    <row r="115" spans="1:6" x14ac:dyDescent="0.25">
      <c r="A115" t="s">
        <v>318</v>
      </c>
      <c r="B115" t="s">
        <v>242</v>
      </c>
      <c r="C115" t="s">
        <v>172</v>
      </c>
      <c r="D115" s="1">
        <v>0.5</v>
      </c>
      <c r="E115">
        <v>-1</v>
      </c>
      <c r="F115" t="s">
        <v>319</v>
      </c>
    </row>
    <row r="116" spans="1:6" x14ac:dyDescent="0.25">
      <c r="A116" t="s">
        <v>320</v>
      </c>
      <c r="B116" t="s">
        <v>321</v>
      </c>
      <c r="C116" t="s">
        <v>322</v>
      </c>
      <c r="D116" s="1">
        <v>0.47</v>
      </c>
    </row>
    <row r="118" spans="1:6" ht="300" x14ac:dyDescent="0.25">
      <c r="A118" s="12" t="s">
        <v>333</v>
      </c>
    </row>
    <row r="120" spans="1:6" ht="330" x14ac:dyDescent="0.25">
      <c r="A120" s="12" t="s">
        <v>334</v>
      </c>
    </row>
  </sheetData>
  <conditionalFormatting sqref="A1:A1048576">
    <cfRule type="duplicateValues" dxfId="6" priority="2"/>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F6431-CA5D-4AE0-8A9D-C48A546B53D2}">
  <dimension ref="A1:O113"/>
  <sheetViews>
    <sheetView topLeftCell="D1" workbookViewId="0">
      <pane ySplit="1" topLeftCell="A41" activePane="bottomLeft" state="frozen"/>
      <selection pane="bottomLeft" activeCell="M63" sqref="M63"/>
    </sheetView>
  </sheetViews>
  <sheetFormatPr defaultRowHeight="15" x14ac:dyDescent="0.25"/>
  <cols>
    <col min="1" max="1" width="95" bestFit="1" customWidth="1"/>
    <col min="2" max="2" width="13.140625" style="11" bestFit="1" customWidth="1"/>
    <col min="3" max="3" width="11.85546875" style="3" bestFit="1" customWidth="1"/>
    <col min="4" max="4" width="9.28515625" style="11" bestFit="1" customWidth="1"/>
    <col min="5" max="5" width="11.85546875" style="3" bestFit="1" customWidth="1"/>
    <col min="6" max="6" width="11.85546875" style="3" customWidth="1"/>
    <col min="7" max="7" width="9.140625" style="4" bestFit="1" customWidth="1"/>
    <col min="8" max="8" width="20.42578125" style="4" customWidth="1"/>
    <col min="9" max="9" width="16.5703125" style="4" bestFit="1" customWidth="1"/>
    <col min="10" max="10" width="12.28515625" style="11" bestFit="1" customWidth="1"/>
    <col min="11" max="11" width="12.28515625" bestFit="1" customWidth="1"/>
    <col min="12" max="12" width="12.28515625" style="11" bestFit="1" customWidth="1"/>
    <col min="13" max="13" width="12.28515625" style="5" bestFit="1" customWidth="1"/>
    <col min="14" max="14" width="15.42578125" customWidth="1"/>
    <col min="15" max="15" width="12.28515625" bestFit="1" customWidth="1"/>
  </cols>
  <sheetData>
    <row r="1" spans="1:15" s="2" customFormat="1" x14ac:dyDescent="0.25">
      <c r="A1" s="2" t="s">
        <v>0</v>
      </c>
      <c r="B1" s="10" t="s">
        <v>340</v>
      </c>
      <c r="C1" s="6" t="s">
        <v>326</v>
      </c>
      <c r="D1" s="10" t="s">
        <v>341</v>
      </c>
      <c r="E1" s="6" t="s">
        <v>327</v>
      </c>
      <c r="F1" s="6" t="s">
        <v>328</v>
      </c>
      <c r="G1" s="17" t="s">
        <v>3</v>
      </c>
      <c r="H1" s="7" t="s">
        <v>331</v>
      </c>
      <c r="I1" s="7" t="s">
        <v>330</v>
      </c>
      <c r="J1" s="10" t="s">
        <v>342</v>
      </c>
      <c r="K1" s="8" t="s">
        <v>332</v>
      </c>
      <c r="L1" s="10" t="s">
        <v>343</v>
      </c>
      <c r="M1" s="9" t="s">
        <v>5</v>
      </c>
      <c r="N1" s="8" t="s">
        <v>329</v>
      </c>
      <c r="O1" s="8" t="s">
        <v>330</v>
      </c>
    </row>
    <row r="2" spans="1:15" x14ac:dyDescent="0.25">
      <c r="A2" t="s">
        <v>6</v>
      </c>
      <c r="B2" s="11" t="s">
        <v>7</v>
      </c>
      <c r="C2" s="3">
        <f>IFERROR(VALUE(SUBSTITUTE(SUBSTITUTE(TRIM(B2),"KSh",""),",","")),0)</f>
        <v>950</v>
      </c>
      <c r="D2" s="11" t="s">
        <v>8</v>
      </c>
      <c r="E2" s="3">
        <f>IFERROR(VALUE(SUBSTITUTE(SUBSTITUTE(TRIM(D2),"KSh",""),",","")),0)</f>
        <v>1525</v>
      </c>
      <c r="F2" s="3">
        <f>E2-C2</f>
        <v>575</v>
      </c>
      <c r="G2" s="4">
        <f>(E2 - C2) / E2</f>
        <v>0.37704918032786883</v>
      </c>
      <c r="H2" s="4" t="str">
        <f>IF(G2&lt;0.2,"Low Discount",IF(G2&lt;=0.4,"Medium Discount","High Discount"))</f>
        <v>Medium Discount</v>
      </c>
      <c r="I2" s="4" t="str" cm="1">
        <f t="array" ref="I2">_xlfn.IFS(G2&lt;0.2,"Low Discount",G2&lt;=0.4,"Medium Discount",G2&gt;0.4,"High Discount")</f>
        <v>Medium Discount</v>
      </c>
      <c r="J2" s="11">
        <v>-2</v>
      </c>
      <c r="K2">
        <f>IF(J2&lt;0,-J2,J2)</f>
        <v>2</v>
      </c>
      <c r="L2" s="11" t="s">
        <v>9</v>
      </c>
      <c r="M2" s="5" t="b">
        <f>Original!G2=IFERROR(VALUE(SUBSTITUTE(TRIM(L2)," out of 5","")),L2)</f>
        <v>0</v>
      </c>
      <c r="N2" t="str">
        <f>IF(M2="Not Provided","Not Provided",IF(M2&lt;3,"Poor",IF(M2&lt;=4.4,"Average","Excellent")))</f>
        <v>Excellent</v>
      </c>
      <c r="O2" t="str" cm="1">
        <f t="array" ref="O2">_xlfn.IFS(M2="Not Provided","Not Provided",M2&lt;3,"Poor",M2&lt;=4.4,"Average",M2&gt;=4.5,"Excellent")</f>
        <v>Excellent</v>
      </c>
    </row>
    <row r="3" spans="1:15" x14ac:dyDescent="0.25">
      <c r="A3" t="s">
        <v>10</v>
      </c>
      <c r="B3" s="11" t="s">
        <v>11</v>
      </c>
      <c r="C3" s="3">
        <f t="shared" ref="C3:C66" si="0">IFERROR(VALUE(SUBSTITUTE(SUBSTITUTE(TRIM(B3),"KSh",""),",","")),0)</f>
        <v>527</v>
      </c>
      <c r="D3" s="11" t="s">
        <v>12</v>
      </c>
      <c r="E3" s="3">
        <f>IFERROR(VALUE(SUBSTITUTE(SUBSTITUTE(TRIM(D3),"KSh",""),",","")),0)</f>
        <v>999</v>
      </c>
      <c r="F3" s="3">
        <f t="shared" ref="F3:F66" si="1">E3-C3</f>
        <v>472</v>
      </c>
      <c r="G3" s="4">
        <f t="shared" ref="G3:G66" si="2">(E3 - C3) / E3</f>
        <v>0.47247247247247248</v>
      </c>
      <c r="H3" s="4" t="str">
        <f t="shared" ref="H3:H66" si="3">IF(G3&lt;0.2,"Low Discount",IF(G3&lt;=0.4,"Medium Discount","High Discount"))</f>
        <v>High Discount</v>
      </c>
      <c r="I3" s="4" t="str" cm="1">
        <f t="array" ref="I3">_xlfn.IFS(G3&lt;0.2,"Low Discount",G3&lt;=0.4,"Medium Discount",G3&gt;0.4,"High Discount")</f>
        <v>High Discount</v>
      </c>
      <c r="J3" s="11">
        <v>-14</v>
      </c>
      <c r="K3">
        <f t="shared" ref="K3:K66" si="4">IF(J3&lt;0,-J3,J3)</f>
        <v>14</v>
      </c>
      <c r="L3" s="11" t="s">
        <v>13</v>
      </c>
      <c r="M3" s="5">
        <f t="shared" ref="M3:M66" si="5">IFERROR(VALUE(SUBSTITUTE(TRIM(L3)," out of 5","")),L3)</f>
        <v>4.0999999999999996</v>
      </c>
      <c r="N3" t="str">
        <f t="shared" ref="N3:N66" si="6">IF(M3="Not Provided","Not Provided",IF(M3&lt;3,"Poor",IF(M3&lt;=4.4,"Average","Excellent")))</f>
        <v>Average</v>
      </c>
      <c r="O3" t="str" cm="1">
        <f t="array" ref="O3">_xlfn.IFS(M3="Not Provided","Not Provided",M3&lt;3,"Poor",M3&lt;=4.4,"Average",M3&gt;=4.5,"Excellent")</f>
        <v>Average</v>
      </c>
    </row>
    <row r="4" spans="1:15" x14ac:dyDescent="0.25">
      <c r="A4" t="s">
        <v>14</v>
      </c>
      <c r="B4" s="11" t="s">
        <v>15</v>
      </c>
      <c r="C4" s="3">
        <f t="shared" si="0"/>
        <v>2199</v>
      </c>
      <c r="D4" s="11" t="s">
        <v>16</v>
      </c>
      <c r="E4" s="3">
        <f t="shared" ref="E4:E66" si="7">IFERROR(VALUE(SUBSTITUTE(SUBSTITUTE(TRIM(D4),"KSh",""),",","")),0)</f>
        <v>2923</v>
      </c>
      <c r="F4" s="3">
        <f t="shared" si="1"/>
        <v>724</v>
      </c>
      <c r="G4" s="4">
        <f t="shared" si="2"/>
        <v>0.24769072870338693</v>
      </c>
      <c r="H4" s="4" t="str">
        <f t="shared" si="3"/>
        <v>Medium Discount</v>
      </c>
      <c r="I4" s="4" t="str" cm="1">
        <f t="array" ref="I4">_xlfn.IFS(G4&lt;0.2,"Low Discount",G4&lt;=0.4,"Medium Discount",G4&gt;0.4,"High Discount")</f>
        <v>Medium Discount</v>
      </c>
      <c r="J4" s="11">
        <v>-24</v>
      </c>
      <c r="K4">
        <f t="shared" si="4"/>
        <v>24</v>
      </c>
      <c r="L4" s="11" t="s">
        <v>17</v>
      </c>
      <c r="M4" s="5">
        <f t="shared" si="5"/>
        <v>4.5999999999999996</v>
      </c>
      <c r="N4" t="str">
        <f t="shared" si="6"/>
        <v>Excellent</v>
      </c>
      <c r="O4" t="str" cm="1">
        <f t="array" ref="O4">_xlfn.IFS(M4="Not Provided","Not Provided",M4&lt;3,"Poor",M4&lt;=4.4,"Average",M4&gt;=4.5,"Excellent")</f>
        <v>Excellent</v>
      </c>
    </row>
    <row r="5" spans="1:15" x14ac:dyDescent="0.25">
      <c r="A5" t="s">
        <v>18</v>
      </c>
      <c r="B5" s="11" t="s">
        <v>19</v>
      </c>
      <c r="C5" s="3">
        <f t="shared" si="0"/>
        <v>1580</v>
      </c>
      <c r="D5" s="11" t="s">
        <v>20</v>
      </c>
      <c r="E5" s="3">
        <f t="shared" si="7"/>
        <v>2499</v>
      </c>
      <c r="F5" s="3">
        <f t="shared" si="1"/>
        <v>919</v>
      </c>
      <c r="G5" s="4">
        <f t="shared" si="2"/>
        <v>0.36774709883953582</v>
      </c>
      <c r="H5" s="4" t="str">
        <f t="shared" si="3"/>
        <v>Medium Discount</v>
      </c>
      <c r="I5" s="4" t="str" cm="1">
        <f t="array" ref="I5">_xlfn.IFS(G5&lt;0.2,"Low Discount",G5&lt;=0.4,"Medium Discount",G5&gt;0.4,"High Discount")</f>
        <v>Medium Discount</v>
      </c>
      <c r="J5" s="11">
        <v>-7</v>
      </c>
      <c r="K5">
        <f t="shared" si="4"/>
        <v>7</v>
      </c>
      <c r="L5" s="11" t="s">
        <v>21</v>
      </c>
      <c r="M5" s="5">
        <f t="shared" si="5"/>
        <v>4.7</v>
      </c>
      <c r="N5" t="str">
        <f t="shared" si="6"/>
        <v>Excellent</v>
      </c>
      <c r="O5" t="str" cm="1">
        <f t="array" ref="O5">_xlfn.IFS(M5="Not Provided","Not Provided",M5&lt;3,"Poor",M5&lt;=4.4,"Average",M5&gt;=4.5,"Excellent")</f>
        <v>Excellent</v>
      </c>
    </row>
    <row r="6" spans="1:15" x14ac:dyDescent="0.25">
      <c r="A6" t="s">
        <v>22</v>
      </c>
      <c r="B6" s="11" t="s">
        <v>23</v>
      </c>
      <c r="C6" s="3">
        <f t="shared" si="0"/>
        <v>1740</v>
      </c>
      <c r="D6" s="11" t="s">
        <v>24</v>
      </c>
      <c r="E6" s="3">
        <f t="shared" si="7"/>
        <v>2356</v>
      </c>
      <c r="F6" s="3">
        <f t="shared" si="1"/>
        <v>616</v>
      </c>
      <c r="G6" s="4">
        <f t="shared" si="2"/>
        <v>0.26146010186757218</v>
      </c>
      <c r="H6" s="4" t="str">
        <f t="shared" si="3"/>
        <v>Medium Discount</v>
      </c>
      <c r="I6" s="4" t="str" cm="1">
        <f t="array" ref="I6">_xlfn.IFS(G6&lt;0.2,"Low Discount",G6&lt;=0.4,"Medium Discount",G6&gt;0.4,"High Discount")</f>
        <v>Medium Discount</v>
      </c>
      <c r="J6" s="11">
        <v>-5</v>
      </c>
      <c r="K6">
        <f t="shared" si="4"/>
        <v>5</v>
      </c>
      <c r="L6" s="11" t="s">
        <v>25</v>
      </c>
      <c r="M6" s="5">
        <f t="shared" si="5"/>
        <v>4.8</v>
      </c>
      <c r="N6" t="str">
        <f t="shared" si="6"/>
        <v>Excellent</v>
      </c>
      <c r="O6" t="str" cm="1">
        <f t="array" ref="O6">_xlfn.IFS(M6="Not Provided","Not Provided",M6&lt;3,"Poor",M6&lt;=4.4,"Average",M6&gt;=4.5,"Excellent")</f>
        <v>Excellent</v>
      </c>
    </row>
    <row r="7" spans="1:15" x14ac:dyDescent="0.25">
      <c r="A7" t="s">
        <v>26</v>
      </c>
      <c r="B7" s="11" t="s">
        <v>27</v>
      </c>
      <c r="C7" s="3">
        <f t="shared" si="0"/>
        <v>2999</v>
      </c>
      <c r="D7" s="11" t="s">
        <v>28</v>
      </c>
      <c r="E7" s="3">
        <f t="shared" si="7"/>
        <v>3290</v>
      </c>
      <c r="F7" s="3">
        <f t="shared" si="1"/>
        <v>291</v>
      </c>
      <c r="G7" s="4">
        <f t="shared" si="2"/>
        <v>8.8449848024316116E-2</v>
      </c>
      <c r="H7" s="4" t="str">
        <f t="shared" si="3"/>
        <v>Low Discount</v>
      </c>
      <c r="I7" s="4" t="str" cm="1">
        <f t="array" ref="I7">_xlfn.IFS(G7&lt;0.2,"Low Discount",G7&lt;=0.4,"Medium Discount",G7&gt;0.4,"High Discount")</f>
        <v>Low Discount</v>
      </c>
      <c r="J7" s="11">
        <v>-15</v>
      </c>
      <c r="K7">
        <f t="shared" si="4"/>
        <v>15</v>
      </c>
      <c r="L7" s="11" t="s">
        <v>29</v>
      </c>
      <c r="M7" s="5">
        <f t="shared" si="5"/>
        <v>4</v>
      </c>
      <c r="N7" t="str">
        <f t="shared" si="6"/>
        <v>Average</v>
      </c>
      <c r="O7" t="str" cm="1">
        <f t="array" ref="O7">_xlfn.IFS(M7="Not Provided","Not Provided",M7&lt;3,"Poor",M7&lt;=4.4,"Average",M7&gt;=4.5,"Excellent")</f>
        <v>Average</v>
      </c>
    </row>
    <row r="8" spans="1:15" x14ac:dyDescent="0.25">
      <c r="A8" t="s">
        <v>30</v>
      </c>
      <c r="B8" s="11" t="s">
        <v>31</v>
      </c>
      <c r="C8" s="3">
        <f t="shared" si="0"/>
        <v>2319</v>
      </c>
      <c r="D8" s="11" t="s">
        <v>32</v>
      </c>
      <c r="E8" s="3">
        <f t="shared" si="7"/>
        <v>3032</v>
      </c>
      <c r="F8" s="3">
        <f t="shared" si="1"/>
        <v>713</v>
      </c>
      <c r="G8" s="4">
        <f t="shared" si="2"/>
        <v>0.23515831134564644</v>
      </c>
      <c r="H8" s="4" t="str">
        <f t="shared" si="3"/>
        <v>Medium Discount</v>
      </c>
      <c r="I8" s="4" t="str" cm="1">
        <f t="array" ref="I8">_xlfn.IFS(G8&lt;0.2,"Low Discount",G8&lt;=0.4,"Medium Discount",G8&gt;0.4,"High Discount")</f>
        <v>Medium Discount</v>
      </c>
      <c r="J8" s="11">
        <v>-55</v>
      </c>
      <c r="K8">
        <f t="shared" si="4"/>
        <v>55</v>
      </c>
      <c r="L8" s="11" t="s">
        <v>17</v>
      </c>
      <c r="M8" s="5">
        <f t="shared" si="5"/>
        <v>4.5999999999999996</v>
      </c>
      <c r="N8" t="str">
        <f t="shared" si="6"/>
        <v>Excellent</v>
      </c>
      <c r="O8" t="str" cm="1">
        <f t="array" ref="O8">_xlfn.IFS(M8="Not Provided","Not Provided",M8&lt;3,"Poor",M8&lt;=4.4,"Average",M8&gt;=4.5,"Excellent")</f>
        <v>Excellent</v>
      </c>
    </row>
    <row r="9" spans="1:15" x14ac:dyDescent="0.25">
      <c r="A9" t="s">
        <v>33</v>
      </c>
      <c r="B9" s="11" t="s">
        <v>34</v>
      </c>
      <c r="C9" s="3">
        <f t="shared" si="0"/>
        <v>988</v>
      </c>
      <c r="D9" s="11" t="s">
        <v>19</v>
      </c>
      <c r="E9" s="3">
        <f t="shared" si="7"/>
        <v>1580</v>
      </c>
      <c r="F9" s="3">
        <f t="shared" si="1"/>
        <v>592</v>
      </c>
      <c r="G9" s="4">
        <f t="shared" si="2"/>
        <v>0.37468354430379747</v>
      </c>
      <c r="H9" s="4" t="str">
        <f t="shared" si="3"/>
        <v>Medium Discount</v>
      </c>
      <c r="I9" s="4" t="str" cm="1">
        <f t="array" ref="I9">_xlfn.IFS(G9&lt;0.2,"Low Discount",G9&lt;=0.4,"Medium Discount",G9&gt;0.4,"High Discount")</f>
        <v>Medium Discount</v>
      </c>
      <c r="J9" s="11">
        <v>-2</v>
      </c>
      <c r="K9">
        <f t="shared" si="4"/>
        <v>2</v>
      </c>
      <c r="L9" s="11" t="s">
        <v>29</v>
      </c>
      <c r="M9" s="5">
        <f t="shared" si="5"/>
        <v>4</v>
      </c>
      <c r="N9" t="str">
        <f t="shared" si="6"/>
        <v>Average</v>
      </c>
      <c r="O9" t="str" cm="1">
        <f t="array" ref="O9">_xlfn.IFS(M9="Not Provided","Not Provided",M9&lt;3,"Poor",M9&lt;=4.4,"Average",M9&gt;=4.5,"Excellent")</f>
        <v>Average</v>
      </c>
    </row>
    <row r="10" spans="1:15" x14ac:dyDescent="0.25">
      <c r="A10" t="s">
        <v>35</v>
      </c>
      <c r="B10" s="11" t="s">
        <v>36</v>
      </c>
      <c r="C10" s="3">
        <f t="shared" si="0"/>
        <v>1274</v>
      </c>
      <c r="D10" s="11" t="s">
        <v>37</v>
      </c>
      <c r="E10" s="3">
        <f t="shared" si="7"/>
        <v>2800</v>
      </c>
      <c r="F10" s="3">
        <f t="shared" si="1"/>
        <v>1526</v>
      </c>
      <c r="G10" s="4">
        <f t="shared" si="2"/>
        <v>0.54500000000000004</v>
      </c>
      <c r="H10" s="4" t="str">
        <f t="shared" si="3"/>
        <v>High Discount</v>
      </c>
      <c r="I10" s="4" t="str" cm="1">
        <f t="array" ref="I10">_xlfn.IFS(G10&lt;0.2,"Low Discount",G10&lt;=0.4,"Medium Discount",G10&gt;0.4,"High Discount")</f>
        <v>High Discount</v>
      </c>
      <c r="J10" s="11">
        <v>-5</v>
      </c>
      <c r="K10">
        <f t="shared" si="4"/>
        <v>5</v>
      </c>
      <c r="L10" s="11" t="s">
        <v>25</v>
      </c>
      <c r="M10" s="5">
        <f t="shared" si="5"/>
        <v>4.8</v>
      </c>
      <c r="N10" t="str">
        <f t="shared" si="6"/>
        <v>Excellent</v>
      </c>
      <c r="O10" t="str" cm="1">
        <f t="array" ref="O10">_xlfn.IFS(M10="Not Provided","Not Provided",M10&lt;3,"Poor",M10&lt;=4.4,"Average",M10&gt;=4.5,"Excellent")</f>
        <v>Excellent</v>
      </c>
    </row>
    <row r="11" spans="1:15" x14ac:dyDescent="0.25">
      <c r="A11" t="s">
        <v>38</v>
      </c>
      <c r="B11" s="11" t="s">
        <v>39</v>
      </c>
      <c r="C11" s="3">
        <f t="shared" si="0"/>
        <v>1600</v>
      </c>
      <c r="D11" s="11" t="s">
        <v>40</v>
      </c>
      <c r="E11" s="3">
        <f t="shared" si="7"/>
        <v>2929</v>
      </c>
      <c r="F11" s="3">
        <f t="shared" si="1"/>
        <v>1329</v>
      </c>
      <c r="G11" s="4">
        <f t="shared" si="2"/>
        <v>0.45373847729600547</v>
      </c>
      <c r="H11" s="4" t="str">
        <f t="shared" si="3"/>
        <v>High Discount</v>
      </c>
      <c r="I11" s="4" t="str" cm="1">
        <f t="array" ref="I11">_xlfn.IFS(G11&lt;0.2,"Low Discount",G11&lt;=0.4,"Medium Discount",G11&gt;0.4,"High Discount")</f>
        <v>High Discount</v>
      </c>
      <c r="J11" s="11">
        <v>-5</v>
      </c>
      <c r="K11">
        <f t="shared" si="4"/>
        <v>5</v>
      </c>
      <c r="L11" s="11" t="s">
        <v>41</v>
      </c>
      <c r="M11" s="5">
        <f t="shared" si="5"/>
        <v>3.8</v>
      </c>
      <c r="N11" t="str">
        <f t="shared" si="6"/>
        <v>Average</v>
      </c>
      <c r="O11" t="str" cm="1">
        <f t="array" ref="O11">_xlfn.IFS(M11="Not Provided","Not Provided",M11&lt;3,"Poor",M11&lt;=4.4,"Average",M11&gt;=4.5,"Excellent")</f>
        <v>Average</v>
      </c>
    </row>
    <row r="12" spans="1:15" x14ac:dyDescent="0.25">
      <c r="A12" t="s">
        <v>42</v>
      </c>
      <c r="B12" s="11" t="s">
        <v>43</v>
      </c>
      <c r="C12" s="3">
        <f t="shared" si="0"/>
        <v>799</v>
      </c>
      <c r="D12" s="11" t="s">
        <v>12</v>
      </c>
      <c r="E12" s="3">
        <f t="shared" si="7"/>
        <v>999</v>
      </c>
      <c r="F12" s="3">
        <f t="shared" si="1"/>
        <v>200</v>
      </c>
      <c r="G12" s="4">
        <f t="shared" si="2"/>
        <v>0.20020020020020021</v>
      </c>
      <c r="H12" s="4" t="str">
        <f t="shared" si="3"/>
        <v>Medium Discount</v>
      </c>
      <c r="I12" s="4" t="str" cm="1">
        <f t="array" ref="I12">_xlfn.IFS(G12&lt;0.2,"Low Discount",G12&lt;=0.4,"Medium Discount",G12&gt;0.4,"High Discount")</f>
        <v>Medium Discount</v>
      </c>
      <c r="J12" s="11">
        <v>-12</v>
      </c>
      <c r="K12">
        <f t="shared" si="4"/>
        <v>12</v>
      </c>
      <c r="L12" s="11" t="s">
        <v>13</v>
      </c>
      <c r="M12" s="5">
        <f t="shared" si="5"/>
        <v>4.0999999999999996</v>
      </c>
      <c r="N12" t="str">
        <f t="shared" si="6"/>
        <v>Average</v>
      </c>
      <c r="O12" t="str" cm="1">
        <f t="array" ref="O12">_xlfn.IFS(M12="Not Provided","Not Provided",M12&lt;3,"Poor",M12&lt;=4.4,"Average",M12&gt;=4.5,"Excellent")</f>
        <v>Average</v>
      </c>
    </row>
    <row r="13" spans="1:15" x14ac:dyDescent="0.25">
      <c r="A13" t="s">
        <v>44</v>
      </c>
      <c r="B13" s="11" t="s">
        <v>45</v>
      </c>
      <c r="C13" s="3">
        <f t="shared" si="0"/>
        <v>990</v>
      </c>
      <c r="D13" s="11" t="s">
        <v>46</v>
      </c>
      <c r="E13" s="3">
        <f t="shared" si="7"/>
        <v>1500</v>
      </c>
      <c r="F13" s="3">
        <f t="shared" si="1"/>
        <v>510</v>
      </c>
      <c r="G13" s="4">
        <f t="shared" si="2"/>
        <v>0.34</v>
      </c>
      <c r="H13" s="4" t="str">
        <f t="shared" si="3"/>
        <v>Medium Discount</v>
      </c>
      <c r="I13" s="4" t="str" cm="1">
        <f t="array" ref="I13">_xlfn.IFS(G13&lt;0.2,"Low Discount",G13&lt;=0.4,"Medium Discount",G13&gt;0.4,"High Discount")</f>
        <v>Medium Discount</v>
      </c>
      <c r="J13" s="11">
        <v>-39</v>
      </c>
      <c r="K13">
        <f t="shared" si="4"/>
        <v>39</v>
      </c>
      <c r="L13" s="11" t="s">
        <v>21</v>
      </c>
      <c r="M13" s="5">
        <f t="shared" si="5"/>
        <v>4.7</v>
      </c>
      <c r="N13" t="str">
        <f t="shared" si="6"/>
        <v>Excellent</v>
      </c>
      <c r="O13" t="str" cm="1">
        <f t="array" ref="O13">_xlfn.IFS(M13="Not Provided","Not Provided",M13&lt;3,"Poor",M13&lt;=4.4,"Average",M13&gt;=4.5,"Excellent")</f>
        <v>Excellent</v>
      </c>
    </row>
    <row r="14" spans="1:15" x14ac:dyDescent="0.25">
      <c r="A14" t="s">
        <v>47</v>
      </c>
      <c r="B14" s="11" t="s">
        <v>48</v>
      </c>
      <c r="C14" s="3">
        <f t="shared" si="0"/>
        <v>552</v>
      </c>
      <c r="D14" s="11" t="s">
        <v>49</v>
      </c>
      <c r="E14" s="3">
        <f t="shared" si="7"/>
        <v>1035</v>
      </c>
      <c r="F14" s="3">
        <f t="shared" si="1"/>
        <v>483</v>
      </c>
      <c r="G14" s="4">
        <f t="shared" si="2"/>
        <v>0.46666666666666667</v>
      </c>
      <c r="H14" s="4" t="str">
        <f t="shared" si="3"/>
        <v>High Discount</v>
      </c>
      <c r="I14" s="4" t="str" cm="1">
        <f t="array" ref="I14">_xlfn.IFS(G14&lt;0.2,"Low Discount",G14&lt;=0.4,"Medium Discount",G14&gt;0.4,"High Discount")</f>
        <v>High Discount</v>
      </c>
      <c r="J14" s="11">
        <v>-12</v>
      </c>
      <c r="K14">
        <f t="shared" si="4"/>
        <v>12</v>
      </c>
      <c r="L14" s="11" t="s">
        <v>25</v>
      </c>
      <c r="M14" s="5">
        <f t="shared" si="5"/>
        <v>4.8</v>
      </c>
      <c r="N14" t="str">
        <f t="shared" si="6"/>
        <v>Excellent</v>
      </c>
      <c r="O14" t="str" cm="1">
        <f t="array" ref="O14">_xlfn.IFS(M14="Not Provided","Not Provided",M14&lt;3,"Poor",M14&lt;=4.4,"Average",M14&gt;=4.5,"Excellent")</f>
        <v>Excellent</v>
      </c>
    </row>
    <row r="15" spans="1:15" x14ac:dyDescent="0.25">
      <c r="A15" t="s">
        <v>50</v>
      </c>
      <c r="B15" s="11" t="s">
        <v>51</v>
      </c>
      <c r="C15" s="3">
        <f t="shared" si="0"/>
        <v>501</v>
      </c>
      <c r="D15" s="11" t="s">
        <v>52</v>
      </c>
      <c r="E15" s="3">
        <f t="shared" si="7"/>
        <v>860</v>
      </c>
      <c r="F15" s="3">
        <f t="shared" si="1"/>
        <v>359</v>
      </c>
      <c r="G15" s="4">
        <f t="shared" si="2"/>
        <v>0.41744186046511628</v>
      </c>
      <c r="H15" s="4" t="str">
        <f t="shared" si="3"/>
        <v>High Discount</v>
      </c>
      <c r="I15" s="4" t="str" cm="1">
        <f t="array" ref="I15">_xlfn.IFS(G15&lt;0.2,"Low Discount",G15&lt;=0.4,"Medium Discount",G15&gt;0.4,"High Discount")</f>
        <v>High Discount</v>
      </c>
      <c r="J15" s="11">
        <v>-6</v>
      </c>
      <c r="K15">
        <f t="shared" si="4"/>
        <v>6</v>
      </c>
      <c r="L15" s="11" t="s">
        <v>9</v>
      </c>
      <c r="M15" s="5">
        <f t="shared" si="5"/>
        <v>4.5</v>
      </c>
      <c r="N15" t="str">
        <f t="shared" si="6"/>
        <v>Excellent</v>
      </c>
      <c r="O15" t="str" cm="1">
        <f t="array" ref="O15">_xlfn.IFS(M15="Not Provided","Not Provided",M15&lt;3,"Poor",M15&lt;=4.4,"Average",M15&gt;=4.5,"Excellent")</f>
        <v>Excellent</v>
      </c>
    </row>
    <row r="16" spans="1:15" x14ac:dyDescent="0.25">
      <c r="A16" t="s">
        <v>53</v>
      </c>
      <c r="B16" s="11" t="s">
        <v>54</v>
      </c>
      <c r="C16" s="3">
        <f t="shared" si="0"/>
        <v>1680</v>
      </c>
      <c r="D16" s="11" t="s">
        <v>20</v>
      </c>
      <c r="E16" s="3">
        <f t="shared" si="7"/>
        <v>2499</v>
      </c>
      <c r="F16" s="3">
        <f t="shared" si="1"/>
        <v>819</v>
      </c>
      <c r="G16" s="4">
        <f t="shared" si="2"/>
        <v>0.32773109243697479</v>
      </c>
      <c r="H16" s="4" t="str">
        <f t="shared" si="3"/>
        <v>Medium Discount</v>
      </c>
      <c r="I16" s="4" t="str" cm="1">
        <f t="array" ref="I16">_xlfn.IFS(G16&lt;0.2,"Low Discount",G16&lt;=0.4,"Medium Discount",G16&gt;0.4,"High Discount")</f>
        <v>Medium Discount</v>
      </c>
      <c r="J16" s="11">
        <v>-9</v>
      </c>
      <c r="K16">
        <f t="shared" si="4"/>
        <v>9</v>
      </c>
      <c r="L16" s="11" t="s">
        <v>55</v>
      </c>
      <c r="M16" s="5">
        <f t="shared" si="5"/>
        <v>4.2</v>
      </c>
      <c r="N16" t="str">
        <f t="shared" si="6"/>
        <v>Average</v>
      </c>
      <c r="O16" t="str" cm="1">
        <f t="array" ref="O16">_xlfn.IFS(M16="Not Provided","Not Provided",M16&lt;3,"Poor",M16&lt;=4.4,"Average",M16&gt;=4.5,"Excellent")</f>
        <v>Average</v>
      </c>
    </row>
    <row r="17" spans="1:15" x14ac:dyDescent="0.25">
      <c r="A17" t="s">
        <v>56</v>
      </c>
      <c r="B17" s="11" t="s">
        <v>57</v>
      </c>
      <c r="C17" s="3">
        <f t="shared" si="0"/>
        <v>332</v>
      </c>
      <c r="D17" s="11" t="s">
        <v>58</v>
      </c>
      <c r="E17" s="3">
        <f t="shared" si="7"/>
        <v>684</v>
      </c>
      <c r="F17" s="3">
        <f t="shared" si="1"/>
        <v>352</v>
      </c>
      <c r="G17" s="4">
        <f t="shared" si="2"/>
        <v>0.51461988304093564</v>
      </c>
      <c r="H17" s="4" t="str">
        <f t="shared" si="3"/>
        <v>High Discount</v>
      </c>
      <c r="I17" s="4" t="str" cm="1">
        <f t="array" ref="I17">_xlfn.IFS(G17&lt;0.2,"Low Discount",G17&lt;=0.4,"Medium Discount",G17&gt;0.4,"High Discount")</f>
        <v>High Discount</v>
      </c>
      <c r="J17" s="11">
        <v>-2</v>
      </c>
      <c r="K17">
        <f t="shared" si="4"/>
        <v>2</v>
      </c>
      <c r="L17" s="11" t="s">
        <v>59</v>
      </c>
      <c r="M17" s="5">
        <f t="shared" si="5"/>
        <v>5</v>
      </c>
      <c r="N17" t="str">
        <f t="shared" si="6"/>
        <v>Excellent</v>
      </c>
      <c r="O17" t="str" cm="1">
        <f t="array" ref="O17">_xlfn.IFS(M17="Not Provided","Not Provided",M17&lt;3,"Poor",M17&lt;=4.4,"Average",M17&gt;=4.5,"Excellent")</f>
        <v>Excellent</v>
      </c>
    </row>
    <row r="18" spans="1:15" x14ac:dyDescent="0.25">
      <c r="A18" t="s">
        <v>60</v>
      </c>
      <c r="B18" s="11" t="s">
        <v>61</v>
      </c>
      <c r="C18" s="3">
        <f t="shared" si="0"/>
        <v>195</v>
      </c>
      <c r="D18" s="11" t="s">
        <v>62</v>
      </c>
      <c r="E18" s="3">
        <f t="shared" si="7"/>
        <v>360</v>
      </c>
      <c r="F18" s="3">
        <f t="shared" si="1"/>
        <v>165</v>
      </c>
      <c r="G18" s="4">
        <f t="shared" si="2"/>
        <v>0.45833333333333331</v>
      </c>
      <c r="H18" s="4" t="str">
        <f t="shared" si="3"/>
        <v>High Discount</v>
      </c>
      <c r="I18" s="4" t="str" cm="1">
        <f t="array" ref="I18">_xlfn.IFS(G18&lt;0.2,"Low Discount",G18&lt;=0.4,"Medium Discount",G18&gt;0.4,"High Discount")</f>
        <v>High Discount</v>
      </c>
      <c r="J18" s="11">
        <v>-2</v>
      </c>
      <c r="K18">
        <f t="shared" si="4"/>
        <v>2</v>
      </c>
      <c r="L18" s="11" t="s">
        <v>59</v>
      </c>
      <c r="M18" s="5">
        <f t="shared" si="5"/>
        <v>5</v>
      </c>
      <c r="N18" t="str">
        <f t="shared" si="6"/>
        <v>Excellent</v>
      </c>
      <c r="O18" t="str" cm="1">
        <f t="array" ref="O18">_xlfn.IFS(M18="Not Provided","Not Provided",M18&lt;3,"Poor",M18&lt;=4.4,"Average",M18&gt;=4.5,"Excellent")</f>
        <v>Excellent</v>
      </c>
    </row>
    <row r="19" spans="1:15" x14ac:dyDescent="0.25">
      <c r="A19" t="s">
        <v>63</v>
      </c>
      <c r="B19" s="11" t="s">
        <v>64</v>
      </c>
      <c r="C19" s="3">
        <f t="shared" si="0"/>
        <v>2025</v>
      </c>
      <c r="D19" s="11" t="s">
        <v>65</v>
      </c>
      <c r="E19" s="3">
        <f t="shared" si="7"/>
        <v>3971</v>
      </c>
      <c r="F19" s="3">
        <f t="shared" si="1"/>
        <v>1946</v>
      </c>
      <c r="G19" s="4">
        <f t="shared" si="2"/>
        <v>0.49005288340468395</v>
      </c>
      <c r="H19" s="4" t="str">
        <f t="shared" si="3"/>
        <v>High Discount</v>
      </c>
      <c r="I19" s="4" t="str" cm="1">
        <f t="array" ref="I19">_xlfn.IFS(G19&lt;0.2,"Low Discount",G19&lt;=0.4,"Medium Discount",G19&gt;0.4,"High Discount")</f>
        <v>High Discount</v>
      </c>
      <c r="J19" s="11">
        <v>-3</v>
      </c>
      <c r="K19">
        <f t="shared" si="4"/>
        <v>3</v>
      </c>
      <c r="L19" s="11" t="s">
        <v>59</v>
      </c>
      <c r="M19" s="5">
        <f t="shared" si="5"/>
        <v>5</v>
      </c>
      <c r="N19" t="str">
        <f t="shared" si="6"/>
        <v>Excellent</v>
      </c>
      <c r="O19" t="str" cm="1">
        <f t="array" ref="O19">_xlfn.IFS(M19="Not Provided","Not Provided",M19&lt;3,"Poor",M19&lt;=4.4,"Average",M19&gt;=4.5,"Excellent")</f>
        <v>Excellent</v>
      </c>
    </row>
    <row r="20" spans="1:15" x14ac:dyDescent="0.25">
      <c r="A20" t="s">
        <v>66</v>
      </c>
      <c r="B20" s="11" t="s">
        <v>27</v>
      </c>
      <c r="C20" s="3">
        <f t="shared" si="0"/>
        <v>2999</v>
      </c>
      <c r="D20" s="11" t="s">
        <v>67</v>
      </c>
      <c r="E20" s="3">
        <f t="shared" si="7"/>
        <v>3699</v>
      </c>
      <c r="F20" s="3">
        <f t="shared" si="1"/>
        <v>700</v>
      </c>
      <c r="G20" s="4">
        <f t="shared" si="2"/>
        <v>0.18924033522573669</v>
      </c>
      <c r="H20" s="4" t="str">
        <f t="shared" si="3"/>
        <v>Low Discount</v>
      </c>
      <c r="I20" s="4" t="str" cm="1">
        <f t="array" ref="I20">_xlfn.IFS(G20&lt;0.2,"Low Discount",G20&lt;=0.4,"Medium Discount",G20&gt;0.4,"High Discount")</f>
        <v>Low Discount</v>
      </c>
      <c r="J20" s="11">
        <v>-5</v>
      </c>
      <c r="K20">
        <f t="shared" si="4"/>
        <v>5</v>
      </c>
      <c r="L20" s="11" t="s">
        <v>17</v>
      </c>
      <c r="M20" s="5">
        <f t="shared" si="5"/>
        <v>4.5999999999999996</v>
      </c>
      <c r="N20" t="str">
        <f t="shared" si="6"/>
        <v>Excellent</v>
      </c>
      <c r="O20" t="str" cm="1">
        <f t="array" ref="O20">_xlfn.IFS(M20="Not Provided","Not Provided",M20&lt;3,"Poor",M20&lt;=4.4,"Average",M20&gt;=4.5,"Excellent")</f>
        <v>Excellent</v>
      </c>
    </row>
    <row r="21" spans="1:15" x14ac:dyDescent="0.25">
      <c r="A21" t="s">
        <v>68</v>
      </c>
      <c r="B21" s="11" t="s">
        <v>69</v>
      </c>
      <c r="C21" s="3">
        <f t="shared" si="0"/>
        <v>998</v>
      </c>
      <c r="D21" s="11" t="s">
        <v>70</v>
      </c>
      <c r="E21" s="3">
        <f t="shared" si="7"/>
        <v>1966</v>
      </c>
      <c r="F21" s="3">
        <f t="shared" si="1"/>
        <v>968</v>
      </c>
      <c r="G21" s="4">
        <f t="shared" si="2"/>
        <v>0.49237029501525942</v>
      </c>
      <c r="H21" s="4" t="str">
        <f t="shared" si="3"/>
        <v>High Discount</v>
      </c>
      <c r="I21" s="4" t="str" cm="1">
        <f t="array" ref="I21">_xlfn.IFS(G21&lt;0.2,"Low Discount",G21&lt;=0.4,"Medium Discount",G21&gt;0.4,"High Discount")</f>
        <v>High Discount</v>
      </c>
      <c r="J21" s="11">
        <v>-44</v>
      </c>
      <c r="K21">
        <f t="shared" si="4"/>
        <v>44</v>
      </c>
      <c r="L21" s="11" t="s">
        <v>17</v>
      </c>
      <c r="M21" s="5">
        <f t="shared" si="5"/>
        <v>4.5999999999999996</v>
      </c>
      <c r="N21" t="str">
        <f t="shared" si="6"/>
        <v>Excellent</v>
      </c>
      <c r="O21" t="str" cm="1">
        <f t="array" ref="O21">_xlfn.IFS(M21="Not Provided","Not Provided",M21&lt;3,"Poor",M21&lt;=4.4,"Average",M21&gt;=4.5,"Excellent")</f>
        <v>Excellent</v>
      </c>
    </row>
    <row r="22" spans="1:15" x14ac:dyDescent="0.25">
      <c r="A22" t="s">
        <v>71</v>
      </c>
      <c r="B22" s="11" t="s">
        <v>72</v>
      </c>
      <c r="C22" s="3">
        <f t="shared" si="0"/>
        <v>38</v>
      </c>
      <c r="D22" s="11" t="s">
        <v>73</v>
      </c>
      <c r="E22" s="3">
        <f t="shared" si="7"/>
        <v>80</v>
      </c>
      <c r="F22" s="3">
        <f t="shared" si="1"/>
        <v>42</v>
      </c>
      <c r="G22" s="4">
        <f t="shared" si="2"/>
        <v>0.52500000000000002</v>
      </c>
      <c r="H22" s="4" t="str">
        <f t="shared" si="3"/>
        <v>High Discount</v>
      </c>
      <c r="I22" s="4" t="str" cm="1">
        <f t="array" ref="I22">_xlfn.IFS(G22&lt;0.2,"Low Discount",G22&lt;=0.4,"Medium Discount",G22&gt;0.4,"High Discount")</f>
        <v>High Discount</v>
      </c>
      <c r="J22" s="11">
        <v>-13</v>
      </c>
      <c r="K22">
        <f t="shared" si="4"/>
        <v>13</v>
      </c>
      <c r="L22" s="11" t="s">
        <v>74</v>
      </c>
      <c r="M22" s="5">
        <f t="shared" si="5"/>
        <v>3.3</v>
      </c>
      <c r="N22" t="str">
        <f t="shared" si="6"/>
        <v>Average</v>
      </c>
      <c r="O22" t="str" cm="1">
        <f t="array" ref="O22">_xlfn.IFS(M22="Not Provided","Not Provided",M22&lt;3,"Poor",M22&lt;=4.4,"Average",M22&gt;=4.5,"Excellent")</f>
        <v>Average</v>
      </c>
    </row>
    <row r="23" spans="1:15" x14ac:dyDescent="0.25">
      <c r="A23" t="s">
        <v>75</v>
      </c>
      <c r="B23" s="11" t="s">
        <v>76</v>
      </c>
      <c r="C23" s="3">
        <f t="shared" si="0"/>
        <v>1860</v>
      </c>
      <c r="D23" s="11" t="s">
        <v>77</v>
      </c>
      <c r="E23" s="3">
        <f t="shared" si="7"/>
        <v>3220</v>
      </c>
      <c r="F23" s="3">
        <f t="shared" si="1"/>
        <v>1360</v>
      </c>
      <c r="G23" s="4">
        <f t="shared" si="2"/>
        <v>0.42236024844720499</v>
      </c>
      <c r="H23" s="4" t="str">
        <f t="shared" si="3"/>
        <v>High Discount</v>
      </c>
      <c r="I23" s="4" t="str" cm="1">
        <f t="array" ref="I23">_xlfn.IFS(G23&lt;0.2,"Low Discount",G23&lt;=0.4,"Medium Discount",G23&gt;0.4,"High Discount")</f>
        <v>High Discount</v>
      </c>
      <c r="J23" s="11" t="s">
        <v>325</v>
      </c>
      <c r="K23" t="str">
        <f t="shared" si="4"/>
        <v>Not Provided</v>
      </c>
      <c r="L23" s="11" t="s">
        <v>325</v>
      </c>
      <c r="M23" s="5" t="str">
        <f t="shared" si="5"/>
        <v>Not Provided</v>
      </c>
      <c r="N23" t="str">
        <f t="shared" si="6"/>
        <v>Not Provided</v>
      </c>
      <c r="O23" t="str" cm="1">
        <f t="array" ref="O23">_xlfn.IFS(M23="Not Provided","Not Provided",M23&lt;3,"Poor",M23&lt;=4.4,"Average",M23&gt;=4.5,"Excellent")</f>
        <v>Not Provided</v>
      </c>
    </row>
    <row r="24" spans="1:15" x14ac:dyDescent="0.25">
      <c r="A24" t="s">
        <v>78</v>
      </c>
      <c r="B24" s="11" t="s">
        <v>79</v>
      </c>
      <c r="C24" s="3">
        <f t="shared" si="0"/>
        <v>880</v>
      </c>
      <c r="D24" s="11" t="s">
        <v>80</v>
      </c>
      <c r="E24" s="3">
        <f t="shared" si="7"/>
        <v>1350</v>
      </c>
      <c r="F24" s="3">
        <f t="shared" si="1"/>
        <v>470</v>
      </c>
      <c r="G24" s="4">
        <f t="shared" si="2"/>
        <v>0.34814814814814815</v>
      </c>
      <c r="H24" s="4" t="str">
        <f t="shared" si="3"/>
        <v>Medium Discount</v>
      </c>
      <c r="I24" s="4" t="str" cm="1">
        <f t="array" ref="I24">_xlfn.IFS(G24&lt;0.2,"Low Discount",G24&lt;=0.4,"Medium Discount",G24&gt;0.4,"High Discount")</f>
        <v>Medium Discount</v>
      </c>
      <c r="J24" s="11">
        <v>-6</v>
      </c>
      <c r="K24">
        <f t="shared" si="4"/>
        <v>6</v>
      </c>
      <c r="L24" s="11" t="s">
        <v>29</v>
      </c>
      <c r="M24" s="5">
        <f t="shared" si="5"/>
        <v>4</v>
      </c>
      <c r="N24" t="str">
        <f t="shared" si="6"/>
        <v>Average</v>
      </c>
      <c r="O24" t="str" cm="1">
        <f t="array" ref="O24">_xlfn.IFS(M24="Not Provided","Not Provided",M24&lt;3,"Poor",M24&lt;=4.4,"Average",M24&gt;=4.5,"Excellent")</f>
        <v>Average</v>
      </c>
    </row>
    <row r="25" spans="1:15" x14ac:dyDescent="0.25">
      <c r="A25" t="s">
        <v>81</v>
      </c>
      <c r="B25" s="11" t="s">
        <v>82</v>
      </c>
      <c r="C25" s="3">
        <f t="shared" si="0"/>
        <v>1650</v>
      </c>
      <c r="D25" s="11" t="s">
        <v>83</v>
      </c>
      <c r="E25" s="3">
        <f t="shared" si="7"/>
        <v>2150</v>
      </c>
      <c r="F25" s="3">
        <f t="shared" si="1"/>
        <v>500</v>
      </c>
      <c r="G25" s="4">
        <f t="shared" si="2"/>
        <v>0.23255813953488372</v>
      </c>
      <c r="H25" s="4" t="str">
        <f t="shared" si="3"/>
        <v>Medium Discount</v>
      </c>
      <c r="I25" s="4" t="str" cm="1">
        <f t="array" ref="I25">_xlfn.IFS(G25&lt;0.2,"Low Discount",G25&lt;=0.4,"Medium Discount",G25&gt;0.4,"High Discount")</f>
        <v>Medium Discount</v>
      </c>
      <c r="J25" s="11">
        <v>-14</v>
      </c>
      <c r="K25">
        <f t="shared" si="4"/>
        <v>14</v>
      </c>
      <c r="L25" s="11" t="s">
        <v>84</v>
      </c>
      <c r="M25" s="5">
        <f t="shared" si="5"/>
        <v>4.4000000000000004</v>
      </c>
      <c r="N25" t="str">
        <f t="shared" si="6"/>
        <v>Average</v>
      </c>
      <c r="O25" t="str" cm="1">
        <f t="array" ref="O25">_xlfn.IFS(M25="Not Provided","Not Provided",M25&lt;3,"Poor",M25&lt;=4.4,"Average",M25&gt;=4.5,"Excellent")</f>
        <v>Average</v>
      </c>
    </row>
    <row r="26" spans="1:15" x14ac:dyDescent="0.25">
      <c r="A26" t="s">
        <v>85</v>
      </c>
      <c r="B26" s="11" t="s">
        <v>86</v>
      </c>
      <c r="C26" s="3">
        <f t="shared" si="0"/>
        <v>2048</v>
      </c>
      <c r="D26" s="11" t="s">
        <v>87</v>
      </c>
      <c r="E26" s="3">
        <f t="shared" si="7"/>
        <v>4500</v>
      </c>
      <c r="F26" s="3">
        <f t="shared" si="1"/>
        <v>2452</v>
      </c>
      <c r="G26" s="4">
        <f t="shared" si="2"/>
        <v>0.54488888888888887</v>
      </c>
      <c r="H26" s="4" t="str">
        <f t="shared" si="3"/>
        <v>High Discount</v>
      </c>
      <c r="I26" s="4" t="str" cm="1">
        <f t="array" ref="I26">_xlfn.IFS(G26&lt;0.2,"Low Discount",G26&lt;=0.4,"Medium Discount",G26&gt;0.4,"High Discount")</f>
        <v>High Discount</v>
      </c>
      <c r="J26" s="11">
        <v>-7</v>
      </c>
      <c r="K26">
        <f t="shared" si="4"/>
        <v>7</v>
      </c>
      <c r="L26" s="11" t="s">
        <v>88</v>
      </c>
      <c r="M26" s="5">
        <f t="shared" si="5"/>
        <v>4.3</v>
      </c>
      <c r="N26" t="str">
        <f t="shared" si="6"/>
        <v>Average</v>
      </c>
      <c r="O26" t="str" cm="1">
        <f t="array" ref="O26">_xlfn.IFS(M26="Not Provided","Not Provided",M26&lt;3,"Poor",M26&lt;=4.4,"Average",M26&gt;=4.5,"Excellent")</f>
        <v>Average</v>
      </c>
    </row>
    <row r="27" spans="1:15" x14ac:dyDescent="0.25">
      <c r="A27" t="s">
        <v>89</v>
      </c>
      <c r="B27" s="11" t="s">
        <v>90</v>
      </c>
      <c r="C27" s="3">
        <f t="shared" si="0"/>
        <v>420</v>
      </c>
      <c r="D27" s="11" t="s">
        <v>91</v>
      </c>
      <c r="E27" s="3">
        <f t="shared" si="7"/>
        <v>647</v>
      </c>
      <c r="F27" s="3">
        <f t="shared" si="1"/>
        <v>227</v>
      </c>
      <c r="G27" s="4">
        <f t="shared" si="2"/>
        <v>0.3508500772797527</v>
      </c>
      <c r="H27" s="4" t="str">
        <f t="shared" si="3"/>
        <v>Medium Discount</v>
      </c>
      <c r="I27" s="4" t="str" cm="1">
        <f t="array" ref="I27">_xlfn.IFS(G27&lt;0.2,"Low Discount",G27&lt;=0.4,"Medium Discount",G27&gt;0.4,"High Discount")</f>
        <v>Medium Discount</v>
      </c>
      <c r="J27" s="11">
        <v>-49</v>
      </c>
      <c r="K27">
        <f t="shared" si="4"/>
        <v>49</v>
      </c>
      <c r="L27" s="11" t="s">
        <v>17</v>
      </c>
      <c r="M27" s="5">
        <f t="shared" si="5"/>
        <v>4.5999999999999996</v>
      </c>
      <c r="N27" t="str">
        <f t="shared" si="6"/>
        <v>Excellent</v>
      </c>
      <c r="O27" t="str" cm="1">
        <f t="array" ref="O27">_xlfn.IFS(M27="Not Provided","Not Provided",M27&lt;3,"Poor",M27&lt;=4.4,"Average",M27&gt;=4.5,"Excellent")</f>
        <v>Excellent</v>
      </c>
    </row>
    <row r="28" spans="1:15" x14ac:dyDescent="0.25">
      <c r="A28" t="s">
        <v>92</v>
      </c>
      <c r="B28" s="11" t="s">
        <v>93</v>
      </c>
      <c r="C28" s="3">
        <f t="shared" si="0"/>
        <v>2880</v>
      </c>
      <c r="D28" s="11" t="s">
        <v>94</v>
      </c>
      <c r="E28" s="3">
        <f t="shared" si="7"/>
        <v>3520</v>
      </c>
      <c r="F28" s="3">
        <f t="shared" si="1"/>
        <v>640</v>
      </c>
      <c r="G28" s="4">
        <f t="shared" si="2"/>
        <v>0.18181818181818182</v>
      </c>
      <c r="H28" s="4" t="str">
        <f t="shared" si="3"/>
        <v>Low Discount</v>
      </c>
      <c r="I28" s="4" t="str" cm="1">
        <f t="array" ref="I28">_xlfn.IFS(G28&lt;0.2,"Low Discount",G28&lt;=0.4,"Medium Discount",G28&gt;0.4,"High Discount")</f>
        <v>Low Discount</v>
      </c>
      <c r="J28" s="11">
        <v>-12</v>
      </c>
      <c r="K28">
        <f t="shared" si="4"/>
        <v>12</v>
      </c>
      <c r="L28" s="11" t="s">
        <v>41</v>
      </c>
      <c r="M28" s="5">
        <f t="shared" si="5"/>
        <v>3.8</v>
      </c>
      <c r="N28" t="str">
        <f t="shared" si="6"/>
        <v>Average</v>
      </c>
      <c r="O28" t="str" cm="1">
        <f t="array" ref="O28">_xlfn.IFS(M28="Not Provided","Not Provided",M28&lt;3,"Poor",M28&lt;=4.4,"Average",M28&gt;=4.5,"Excellent")</f>
        <v>Average</v>
      </c>
    </row>
    <row r="29" spans="1:15" x14ac:dyDescent="0.25">
      <c r="A29" t="s">
        <v>95</v>
      </c>
      <c r="B29" s="11" t="s">
        <v>80</v>
      </c>
      <c r="C29" s="3">
        <f t="shared" si="0"/>
        <v>1350</v>
      </c>
      <c r="D29" s="11" t="s">
        <v>96</v>
      </c>
      <c r="E29" s="3">
        <f t="shared" si="7"/>
        <v>1990</v>
      </c>
      <c r="F29" s="3">
        <f t="shared" si="1"/>
        <v>640</v>
      </c>
      <c r="G29" s="4">
        <f t="shared" si="2"/>
        <v>0.32160804020100503</v>
      </c>
      <c r="H29" s="4" t="str">
        <f t="shared" si="3"/>
        <v>Medium Discount</v>
      </c>
      <c r="I29" s="4" t="str" cm="1">
        <f t="array" ref="I29">_xlfn.IFS(G29&lt;0.2,"Low Discount",G29&lt;=0.4,"Medium Discount",G29&gt;0.4,"High Discount")</f>
        <v>Medium Discount</v>
      </c>
      <c r="J29" s="11">
        <v>-13</v>
      </c>
      <c r="K29">
        <f t="shared" si="4"/>
        <v>13</v>
      </c>
      <c r="L29" s="11" t="s">
        <v>41</v>
      </c>
      <c r="M29" s="5">
        <f t="shared" si="5"/>
        <v>3.8</v>
      </c>
      <c r="N29" t="str">
        <f t="shared" si="6"/>
        <v>Average</v>
      </c>
      <c r="O29" t="str" cm="1">
        <f t="array" ref="O29">_xlfn.IFS(M29="Not Provided","Not Provided",M29&lt;3,"Poor",M29&lt;=4.4,"Average",M29&gt;=4.5,"Excellent")</f>
        <v>Average</v>
      </c>
    </row>
    <row r="30" spans="1:15" x14ac:dyDescent="0.25">
      <c r="A30" t="s">
        <v>97</v>
      </c>
      <c r="B30" s="11" t="s">
        <v>98</v>
      </c>
      <c r="C30" s="3">
        <f t="shared" si="0"/>
        <v>1758</v>
      </c>
      <c r="D30" s="11" t="s">
        <v>20</v>
      </c>
      <c r="E30" s="3">
        <f t="shared" si="7"/>
        <v>2499</v>
      </c>
      <c r="F30" s="3">
        <f t="shared" si="1"/>
        <v>741</v>
      </c>
      <c r="G30" s="4">
        <f t="shared" si="2"/>
        <v>0.2965186074429772</v>
      </c>
      <c r="H30" s="4" t="str">
        <f t="shared" si="3"/>
        <v>Medium Discount</v>
      </c>
      <c r="I30" s="4" t="str" cm="1">
        <f t="array" ref="I30">_xlfn.IFS(G30&lt;0.2,"Low Discount",G30&lt;=0.4,"Medium Discount",G30&gt;0.4,"High Discount")</f>
        <v>Medium Discount</v>
      </c>
      <c r="J30" s="11">
        <v>-20</v>
      </c>
      <c r="K30">
        <f t="shared" si="4"/>
        <v>20</v>
      </c>
      <c r="L30" s="11" t="s">
        <v>13</v>
      </c>
      <c r="M30" s="5">
        <f t="shared" si="5"/>
        <v>4.0999999999999996</v>
      </c>
      <c r="N30" t="str">
        <f t="shared" si="6"/>
        <v>Average</v>
      </c>
      <c r="O30" t="str" cm="1">
        <f t="array" ref="O30">_xlfn.IFS(M30="Not Provided","Not Provided",M30&lt;3,"Poor",M30&lt;=4.4,"Average",M30&gt;=4.5,"Excellent")</f>
        <v>Average</v>
      </c>
    </row>
    <row r="31" spans="1:15" x14ac:dyDescent="0.25">
      <c r="A31" t="s">
        <v>99</v>
      </c>
      <c r="B31" s="11" t="s">
        <v>100</v>
      </c>
      <c r="C31" s="3">
        <f t="shared" si="0"/>
        <v>2200</v>
      </c>
      <c r="D31" s="11" t="s">
        <v>101</v>
      </c>
      <c r="E31" s="3">
        <f t="shared" si="7"/>
        <v>4080</v>
      </c>
      <c r="F31" s="3">
        <f t="shared" si="1"/>
        <v>1880</v>
      </c>
      <c r="G31" s="4">
        <f t="shared" si="2"/>
        <v>0.46078431372549017</v>
      </c>
      <c r="H31" s="4" t="str">
        <f t="shared" si="3"/>
        <v>High Discount</v>
      </c>
      <c r="I31" s="4" t="str" cm="1">
        <f t="array" ref="I31">_xlfn.IFS(G31&lt;0.2,"Low Discount",G31&lt;=0.4,"Medium Discount",G31&gt;0.4,"High Discount")</f>
        <v>High Discount</v>
      </c>
      <c r="J31" s="11" t="s">
        <v>325</v>
      </c>
      <c r="K31" t="str">
        <f t="shared" si="4"/>
        <v>Not Provided</v>
      </c>
      <c r="L31" s="11" t="s">
        <v>325</v>
      </c>
      <c r="M31" s="5" t="str">
        <f t="shared" si="5"/>
        <v>Not Provided</v>
      </c>
      <c r="N31" t="str">
        <f t="shared" si="6"/>
        <v>Not Provided</v>
      </c>
      <c r="O31" t="str" cm="1">
        <f t="array" ref="O31">_xlfn.IFS(M31="Not Provided","Not Provided",M31&lt;3,"Poor",M31&lt;=4.4,"Average",M31&gt;=4.5,"Excellent")</f>
        <v>Not Provided</v>
      </c>
    </row>
    <row r="32" spans="1:15" x14ac:dyDescent="0.25">
      <c r="A32" t="s">
        <v>102</v>
      </c>
      <c r="B32" s="11" t="s">
        <v>103</v>
      </c>
      <c r="C32" s="3">
        <f t="shared" si="0"/>
        <v>185</v>
      </c>
      <c r="D32" s="11" t="s">
        <v>104</v>
      </c>
      <c r="E32" s="3">
        <f t="shared" si="7"/>
        <v>382</v>
      </c>
      <c r="F32" s="3">
        <f t="shared" si="1"/>
        <v>197</v>
      </c>
      <c r="G32" s="4">
        <f t="shared" si="2"/>
        <v>0.51570680628272247</v>
      </c>
      <c r="H32" s="4" t="str">
        <f t="shared" si="3"/>
        <v>High Discount</v>
      </c>
      <c r="I32" s="4" t="str" cm="1">
        <f t="array" ref="I32">_xlfn.IFS(G32&lt;0.2,"Low Discount",G32&lt;=0.4,"Medium Discount",G32&gt;0.4,"High Discount")</f>
        <v>High Discount</v>
      </c>
      <c r="J32" s="11">
        <v>-9</v>
      </c>
      <c r="K32">
        <f t="shared" si="4"/>
        <v>9</v>
      </c>
      <c r="L32" s="11" t="s">
        <v>88</v>
      </c>
      <c r="M32" s="5">
        <f t="shared" si="5"/>
        <v>4.3</v>
      </c>
      <c r="N32" t="str">
        <f t="shared" si="6"/>
        <v>Average</v>
      </c>
      <c r="O32" t="str" cm="1">
        <f t="array" ref="O32">_xlfn.IFS(M32="Not Provided","Not Provided",M32&lt;3,"Poor",M32&lt;=4.4,"Average",M32&gt;=4.5,"Excellent")</f>
        <v>Average</v>
      </c>
    </row>
    <row r="33" spans="1:15" x14ac:dyDescent="0.25">
      <c r="A33" t="s">
        <v>105</v>
      </c>
      <c r="B33" s="11" t="s">
        <v>106</v>
      </c>
      <c r="C33" s="3">
        <f t="shared" si="0"/>
        <v>980</v>
      </c>
      <c r="D33" s="11" t="s">
        <v>107</v>
      </c>
      <c r="E33" s="3">
        <f t="shared" si="7"/>
        <v>1490</v>
      </c>
      <c r="F33" s="3">
        <f t="shared" si="1"/>
        <v>510</v>
      </c>
      <c r="G33" s="4">
        <f t="shared" si="2"/>
        <v>0.34228187919463088</v>
      </c>
      <c r="H33" s="4" t="str">
        <f t="shared" si="3"/>
        <v>Medium Discount</v>
      </c>
      <c r="I33" s="4" t="str" cm="1">
        <f t="array" ref="I33">_xlfn.IFS(G33&lt;0.2,"Low Discount",G33&lt;=0.4,"Medium Discount",G33&gt;0.4,"High Discount")</f>
        <v>Medium Discount</v>
      </c>
      <c r="J33" s="11">
        <v>-12</v>
      </c>
      <c r="K33">
        <f t="shared" si="4"/>
        <v>12</v>
      </c>
      <c r="L33" s="11" t="s">
        <v>21</v>
      </c>
      <c r="M33" s="5">
        <f t="shared" si="5"/>
        <v>4.7</v>
      </c>
      <c r="N33" t="str">
        <f t="shared" si="6"/>
        <v>Excellent</v>
      </c>
      <c r="O33" t="str" cm="1">
        <f t="array" ref="O33">_xlfn.IFS(M33="Not Provided","Not Provided",M33&lt;3,"Poor",M33&lt;=4.4,"Average",M33&gt;=4.5,"Excellent")</f>
        <v>Excellent</v>
      </c>
    </row>
    <row r="34" spans="1:15" x14ac:dyDescent="0.25">
      <c r="A34" t="s">
        <v>108</v>
      </c>
      <c r="B34" s="11" t="s">
        <v>109</v>
      </c>
      <c r="C34" s="3">
        <f t="shared" si="0"/>
        <v>1820</v>
      </c>
      <c r="D34" s="11" t="s">
        <v>110</v>
      </c>
      <c r="E34" s="3">
        <f t="shared" si="7"/>
        <v>3490</v>
      </c>
      <c r="F34" s="3">
        <f t="shared" si="1"/>
        <v>1670</v>
      </c>
      <c r="G34" s="4">
        <f t="shared" si="2"/>
        <v>0.47851002865329512</v>
      </c>
      <c r="H34" s="4" t="str">
        <f t="shared" si="3"/>
        <v>High Discount</v>
      </c>
      <c r="I34" s="4" t="str" cm="1">
        <f t="array" ref="I34">_xlfn.IFS(G34&lt;0.2,"Low Discount",G34&lt;=0.4,"Medium Discount",G34&gt;0.4,"High Discount")</f>
        <v>High Discount</v>
      </c>
      <c r="J34" s="11">
        <v>-9</v>
      </c>
      <c r="K34">
        <f t="shared" si="4"/>
        <v>9</v>
      </c>
      <c r="L34" s="11" t="s">
        <v>88</v>
      </c>
      <c r="M34" s="5">
        <f t="shared" si="5"/>
        <v>4.3</v>
      </c>
      <c r="N34" t="str">
        <f t="shared" si="6"/>
        <v>Average</v>
      </c>
      <c r="O34" t="str" cm="1">
        <f t="array" ref="O34">_xlfn.IFS(M34="Not Provided","Not Provided",M34&lt;3,"Poor",M34&lt;=4.4,"Average",M34&gt;=4.5,"Excellent")</f>
        <v>Average</v>
      </c>
    </row>
    <row r="35" spans="1:15" x14ac:dyDescent="0.25">
      <c r="A35" t="s">
        <v>111</v>
      </c>
      <c r="B35" s="11" t="s">
        <v>112</v>
      </c>
      <c r="C35" s="3">
        <f t="shared" si="0"/>
        <v>1940</v>
      </c>
      <c r="D35" s="11" t="s">
        <v>113</v>
      </c>
      <c r="E35" s="3">
        <f t="shared" si="7"/>
        <v>2650</v>
      </c>
      <c r="F35" s="3">
        <f t="shared" si="1"/>
        <v>710</v>
      </c>
      <c r="G35" s="4">
        <f t="shared" si="2"/>
        <v>0.26792452830188679</v>
      </c>
      <c r="H35" s="4" t="str">
        <f t="shared" si="3"/>
        <v>Medium Discount</v>
      </c>
      <c r="I35" s="4" t="str" cm="1">
        <f t="array" ref="I35">_xlfn.IFS(G35&lt;0.2,"Low Discount",G35&lt;=0.4,"Medium Discount",G35&gt;0.4,"High Discount")</f>
        <v>Medium Discount</v>
      </c>
      <c r="J35" s="11">
        <v>-20</v>
      </c>
      <c r="K35">
        <f t="shared" si="4"/>
        <v>20</v>
      </c>
      <c r="L35" s="11" t="s">
        <v>21</v>
      </c>
      <c r="M35" s="5">
        <f t="shared" si="5"/>
        <v>4.7</v>
      </c>
      <c r="N35" t="str">
        <f t="shared" si="6"/>
        <v>Excellent</v>
      </c>
      <c r="O35" t="str" cm="1">
        <f t="array" ref="O35">_xlfn.IFS(M35="Not Provided","Not Provided",M35&lt;3,"Poor",M35&lt;=4.4,"Average",M35&gt;=4.5,"Excellent")</f>
        <v>Excellent</v>
      </c>
    </row>
    <row r="36" spans="1:15" x14ac:dyDescent="0.25">
      <c r="A36" t="s">
        <v>114</v>
      </c>
      <c r="B36" s="11" t="s">
        <v>115</v>
      </c>
      <c r="C36" s="3">
        <f t="shared" si="0"/>
        <v>1980</v>
      </c>
      <c r="D36" s="11" t="s">
        <v>116</v>
      </c>
      <c r="E36" s="3">
        <f t="shared" si="7"/>
        <v>2699</v>
      </c>
      <c r="F36" s="3">
        <f t="shared" si="1"/>
        <v>719</v>
      </c>
      <c r="G36" s="4">
        <f t="shared" si="2"/>
        <v>0.26639496109670247</v>
      </c>
      <c r="H36" s="4" t="str">
        <f t="shared" si="3"/>
        <v>Medium Discount</v>
      </c>
      <c r="I36" s="4" t="str" cm="1">
        <f t="array" ref="I36">_xlfn.IFS(G36&lt;0.2,"Low Discount",G36&lt;=0.4,"Medium Discount",G36&gt;0.4,"High Discount")</f>
        <v>Medium Discount</v>
      </c>
      <c r="J36" s="11">
        <v>-32</v>
      </c>
      <c r="K36">
        <f t="shared" si="4"/>
        <v>32</v>
      </c>
      <c r="L36" s="11" t="s">
        <v>9</v>
      </c>
      <c r="M36" s="5">
        <f t="shared" si="5"/>
        <v>4.5</v>
      </c>
      <c r="N36" t="str">
        <f t="shared" si="6"/>
        <v>Excellent</v>
      </c>
      <c r="O36" t="str" cm="1">
        <f t="array" ref="O36">_xlfn.IFS(M36="Not Provided","Not Provided",M36&lt;3,"Poor",M36&lt;=4.4,"Average",M36&gt;=4.5,"Excellent")</f>
        <v>Excellent</v>
      </c>
    </row>
    <row r="37" spans="1:15" x14ac:dyDescent="0.25">
      <c r="A37" t="s">
        <v>117</v>
      </c>
      <c r="B37" s="11" t="s">
        <v>118</v>
      </c>
      <c r="C37" s="3">
        <f t="shared" si="0"/>
        <v>1620</v>
      </c>
      <c r="D37" s="11" t="s">
        <v>119</v>
      </c>
      <c r="E37" s="3">
        <f t="shared" si="7"/>
        <v>2690</v>
      </c>
      <c r="F37" s="3">
        <f t="shared" si="1"/>
        <v>1070</v>
      </c>
      <c r="G37" s="4">
        <f t="shared" si="2"/>
        <v>0.39776951672862454</v>
      </c>
      <c r="H37" s="4" t="str">
        <f t="shared" si="3"/>
        <v>Medium Discount</v>
      </c>
      <c r="I37" s="4" t="str" cm="1">
        <f t="array" ref="I37">_xlfn.IFS(G37&lt;0.2,"Low Discount",G37&lt;=0.4,"Medium Discount",G37&gt;0.4,"High Discount")</f>
        <v>Medium Discount</v>
      </c>
      <c r="J37" s="11">
        <v>-1</v>
      </c>
      <c r="K37">
        <f t="shared" si="4"/>
        <v>1</v>
      </c>
      <c r="L37" s="11" t="s">
        <v>59</v>
      </c>
      <c r="M37" s="5">
        <f t="shared" si="5"/>
        <v>5</v>
      </c>
      <c r="N37" t="str">
        <f t="shared" si="6"/>
        <v>Excellent</v>
      </c>
      <c r="O37" t="str" cm="1">
        <f t="array" ref="O37">_xlfn.IFS(M37="Not Provided","Not Provided",M37&lt;3,"Poor",M37&lt;=4.4,"Average",M37&gt;=4.5,"Excellent")</f>
        <v>Excellent</v>
      </c>
    </row>
    <row r="38" spans="1:15" x14ac:dyDescent="0.25">
      <c r="A38" t="s">
        <v>120</v>
      </c>
      <c r="B38" s="11" t="s">
        <v>121</v>
      </c>
      <c r="C38" s="3">
        <f t="shared" si="0"/>
        <v>171</v>
      </c>
      <c r="D38" s="11" t="s">
        <v>62</v>
      </c>
      <c r="E38" s="3">
        <f t="shared" si="7"/>
        <v>360</v>
      </c>
      <c r="F38" s="3">
        <f t="shared" si="1"/>
        <v>189</v>
      </c>
      <c r="G38" s="4">
        <f t="shared" si="2"/>
        <v>0.52500000000000002</v>
      </c>
      <c r="H38" s="4" t="str">
        <f t="shared" si="3"/>
        <v>High Discount</v>
      </c>
      <c r="I38" s="4" t="str" cm="1">
        <f t="array" ref="I38">_xlfn.IFS(G38&lt;0.2,"Low Discount",G38&lt;=0.4,"Medium Discount",G38&gt;0.4,"High Discount")</f>
        <v>High Discount</v>
      </c>
      <c r="J38" s="11">
        <v>-2</v>
      </c>
      <c r="K38">
        <f t="shared" si="4"/>
        <v>2</v>
      </c>
      <c r="L38" s="11" t="s">
        <v>59</v>
      </c>
      <c r="M38" s="5">
        <f t="shared" si="5"/>
        <v>5</v>
      </c>
      <c r="N38" t="str">
        <f t="shared" si="6"/>
        <v>Excellent</v>
      </c>
      <c r="O38" t="str" cm="1">
        <f t="array" ref="O38">_xlfn.IFS(M38="Not Provided","Not Provided",M38&lt;3,"Poor",M38&lt;=4.4,"Average",M38&gt;=4.5,"Excellent")</f>
        <v>Excellent</v>
      </c>
    </row>
    <row r="39" spans="1:15" x14ac:dyDescent="0.25">
      <c r="A39" t="s">
        <v>122</v>
      </c>
      <c r="B39" s="11" t="s">
        <v>123</v>
      </c>
      <c r="C39" s="3">
        <f t="shared" si="0"/>
        <v>389</v>
      </c>
      <c r="D39" s="11" t="s">
        <v>124</v>
      </c>
      <c r="E39" s="3">
        <f t="shared" si="7"/>
        <v>656</v>
      </c>
      <c r="F39" s="3">
        <f t="shared" si="1"/>
        <v>267</v>
      </c>
      <c r="G39" s="4">
        <f t="shared" si="2"/>
        <v>0.40701219512195119</v>
      </c>
      <c r="H39" s="4" t="str">
        <f t="shared" si="3"/>
        <v>High Discount</v>
      </c>
      <c r="I39" s="4" t="str" cm="1">
        <f t="array" ref="I39">_xlfn.IFS(G39&lt;0.2,"Low Discount",G39&lt;=0.4,"Medium Discount",G39&gt;0.4,"High Discount")</f>
        <v>High Discount</v>
      </c>
      <c r="J39" s="11">
        <v>-36</v>
      </c>
      <c r="K39">
        <f t="shared" si="4"/>
        <v>36</v>
      </c>
      <c r="L39" s="11" t="s">
        <v>88</v>
      </c>
      <c r="M39" s="5">
        <f t="shared" si="5"/>
        <v>4.3</v>
      </c>
      <c r="N39" t="str">
        <f t="shared" si="6"/>
        <v>Average</v>
      </c>
      <c r="O39" t="str" cm="1">
        <f t="array" ref="O39">_xlfn.IFS(M39="Not Provided","Not Provided",M39&lt;3,"Poor",M39&lt;=4.4,"Average",M39&gt;=4.5,"Excellent")</f>
        <v>Average</v>
      </c>
    </row>
    <row r="40" spans="1:15" x14ac:dyDescent="0.25">
      <c r="A40" t="s">
        <v>125</v>
      </c>
      <c r="B40" s="11" t="s">
        <v>323</v>
      </c>
      <c r="C40" s="3">
        <f t="shared" si="0"/>
        <v>1800</v>
      </c>
      <c r="D40" s="11" t="s">
        <v>324</v>
      </c>
      <c r="E40" s="3">
        <f t="shared" si="7"/>
        <v>2700</v>
      </c>
      <c r="F40" s="3">
        <f t="shared" si="1"/>
        <v>900</v>
      </c>
      <c r="G40" s="4">
        <f t="shared" si="2"/>
        <v>0.33333333333333331</v>
      </c>
      <c r="H40" s="4" t="str">
        <f t="shared" si="3"/>
        <v>Medium Discount</v>
      </c>
      <c r="I40" s="4" t="str" cm="1">
        <f t="array" ref="I40">_xlfn.IFS(G40&lt;0.2,"Low Discount",G40&lt;=0.4,"Medium Discount",G40&gt;0.4,"High Discount")</f>
        <v>Medium Discount</v>
      </c>
      <c r="J40" s="11">
        <v>-2</v>
      </c>
      <c r="K40">
        <f t="shared" si="4"/>
        <v>2</v>
      </c>
      <c r="L40" s="11" t="s">
        <v>9</v>
      </c>
      <c r="M40" s="5">
        <f t="shared" si="5"/>
        <v>4.5</v>
      </c>
      <c r="N40" t="str">
        <f t="shared" si="6"/>
        <v>Excellent</v>
      </c>
      <c r="O40" t="str" cm="1">
        <f t="array" ref="O40">_xlfn.IFS(M40="Not Provided","Not Provided",M40&lt;3,"Poor",M40&lt;=4.4,"Average",M40&gt;=4.5,"Excellent")</f>
        <v>Excellent</v>
      </c>
    </row>
    <row r="41" spans="1:15" x14ac:dyDescent="0.25">
      <c r="A41" t="s">
        <v>128</v>
      </c>
      <c r="B41" s="11" t="s">
        <v>129</v>
      </c>
      <c r="C41" s="3">
        <f t="shared" si="0"/>
        <v>2750</v>
      </c>
      <c r="D41" s="11" t="s">
        <v>130</v>
      </c>
      <c r="E41" s="3">
        <f t="shared" si="7"/>
        <v>4471</v>
      </c>
      <c r="F41" s="3">
        <f t="shared" si="1"/>
        <v>1721</v>
      </c>
      <c r="G41" s="4">
        <f t="shared" si="2"/>
        <v>0.38492507269067322</v>
      </c>
      <c r="H41" s="4" t="str">
        <f t="shared" si="3"/>
        <v>Medium Discount</v>
      </c>
      <c r="I41" s="4" t="str" cm="1">
        <f t="array" ref="I41">_xlfn.IFS(G41&lt;0.2,"Low Discount",G41&lt;=0.4,"Medium Discount",G41&gt;0.4,"High Discount")</f>
        <v>Medium Discount</v>
      </c>
      <c r="J41" s="11" t="s">
        <v>325</v>
      </c>
      <c r="K41" t="str">
        <f t="shared" si="4"/>
        <v>Not Provided</v>
      </c>
      <c r="L41" s="11" t="s">
        <v>325</v>
      </c>
      <c r="M41" s="5" t="str">
        <f t="shared" si="5"/>
        <v>Not Provided</v>
      </c>
      <c r="N41" t="str">
        <f t="shared" si="6"/>
        <v>Not Provided</v>
      </c>
      <c r="O41" t="str" cm="1">
        <f t="array" ref="O41">_xlfn.IFS(M41="Not Provided","Not Provided",M41&lt;3,"Poor",M41&lt;=4.4,"Average",M41&gt;=4.5,"Excellent")</f>
        <v>Not Provided</v>
      </c>
    </row>
    <row r="42" spans="1:15" x14ac:dyDescent="0.25">
      <c r="A42" t="s">
        <v>131</v>
      </c>
      <c r="B42" s="11" t="s">
        <v>132</v>
      </c>
      <c r="C42" s="3">
        <f t="shared" si="0"/>
        <v>475</v>
      </c>
      <c r="D42" s="11" t="s">
        <v>133</v>
      </c>
      <c r="E42" s="3">
        <f t="shared" si="7"/>
        <v>931</v>
      </c>
      <c r="F42" s="3">
        <f t="shared" si="1"/>
        <v>456</v>
      </c>
      <c r="G42" s="4">
        <f t="shared" si="2"/>
        <v>0.48979591836734693</v>
      </c>
      <c r="H42" s="4" t="str">
        <f t="shared" si="3"/>
        <v>High Discount</v>
      </c>
      <c r="I42" s="4" t="str" cm="1">
        <f t="array" ref="I42">_xlfn.IFS(G42&lt;0.2,"Low Discount",G42&lt;=0.4,"Medium Discount",G42&gt;0.4,"High Discount")</f>
        <v>High Discount</v>
      </c>
      <c r="J42" s="11" t="s">
        <v>325</v>
      </c>
      <c r="K42" t="str">
        <f t="shared" si="4"/>
        <v>Not Provided</v>
      </c>
      <c r="L42" s="11" t="s">
        <v>325</v>
      </c>
      <c r="M42" s="5" t="str">
        <f t="shared" si="5"/>
        <v>Not Provided</v>
      </c>
      <c r="N42" t="str">
        <f t="shared" si="6"/>
        <v>Not Provided</v>
      </c>
      <c r="O42" t="str" cm="1">
        <f t="array" ref="O42">_xlfn.IFS(M42="Not Provided","Not Provided",M42&lt;3,"Poor",M42&lt;=4.4,"Average",M42&gt;=4.5,"Excellent")</f>
        <v>Not Provided</v>
      </c>
    </row>
    <row r="43" spans="1:15" x14ac:dyDescent="0.25">
      <c r="A43" t="s">
        <v>134</v>
      </c>
      <c r="B43" s="11" t="s">
        <v>135</v>
      </c>
      <c r="C43" s="3">
        <f t="shared" si="0"/>
        <v>238</v>
      </c>
      <c r="D43" s="11" t="s">
        <v>136</v>
      </c>
      <c r="E43" s="3">
        <f t="shared" si="7"/>
        <v>476</v>
      </c>
      <c r="F43" s="3">
        <f t="shared" si="1"/>
        <v>238</v>
      </c>
      <c r="G43" s="4">
        <f t="shared" si="2"/>
        <v>0.5</v>
      </c>
      <c r="H43" s="4" t="str">
        <f t="shared" si="3"/>
        <v>High Discount</v>
      </c>
      <c r="I43" s="4" t="str" cm="1">
        <f t="array" ref="I43">_xlfn.IFS(G43&lt;0.2,"Low Discount",G43&lt;=0.4,"Medium Discount",G43&gt;0.4,"High Discount")</f>
        <v>High Discount</v>
      </c>
      <c r="J43" s="11" t="s">
        <v>325</v>
      </c>
      <c r="K43" t="str">
        <f t="shared" si="4"/>
        <v>Not Provided</v>
      </c>
      <c r="L43" s="11" t="s">
        <v>325</v>
      </c>
      <c r="M43" s="5" t="str">
        <f t="shared" si="5"/>
        <v>Not Provided</v>
      </c>
      <c r="N43" t="str">
        <f t="shared" si="6"/>
        <v>Not Provided</v>
      </c>
      <c r="O43" t="str" cm="1">
        <f t="array" ref="O43">_xlfn.IFS(M43="Not Provided","Not Provided",M43&lt;3,"Poor",M43&lt;=4.4,"Average",M43&gt;=4.5,"Excellent")</f>
        <v>Not Provided</v>
      </c>
    </row>
    <row r="44" spans="1:15" x14ac:dyDescent="0.25">
      <c r="A44" t="s">
        <v>137</v>
      </c>
      <c r="B44" s="11" t="s">
        <v>138</v>
      </c>
      <c r="C44" s="3">
        <f t="shared" si="0"/>
        <v>610</v>
      </c>
      <c r="D44" s="11" t="s">
        <v>139</v>
      </c>
      <c r="E44" s="3">
        <f t="shared" si="7"/>
        <v>1060</v>
      </c>
      <c r="F44" s="3">
        <f t="shared" si="1"/>
        <v>450</v>
      </c>
      <c r="G44" s="4">
        <f t="shared" si="2"/>
        <v>0.42452830188679247</v>
      </c>
      <c r="H44" s="4" t="str">
        <f t="shared" si="3"/>
        <v>High Discount</v>
      </c>
      <c r="I44" s="4" t="str" cm="1">
        <f t="array" ref="I44">_xlfn.IFS(G44&lt;0.2,"Low Discount",G44&lt;=0.4,"Medium Discount",G44&gt;0.4,"High Discount")</f>
        <v>High Discount</v>
      </c>
      <c r="J44" s="11" t="s">
        <v>325</v>
      </c>
      <c r="K44" t="str">
        <f t="shared" si="4"/>
        <v>Not Provided</v>
      </c>
      <c r="L44" s="11" t="s">
        <v>325</v>
      </c>
      <c r="M44" s="5" t="str">
        <f t="shared" si="5"/>
        <v>Not Provided</v>
      </c>
      <c r="N44" t="str">
        <f t="shared" si="6"/>
        <v>Not Provided</v>
      </c>
      <c r="O44" t="str" cm="1">
        <f t="array" ref="O44">_xlfn.IFS(M44="Not Provided","Not Provided",M44&lt;3,"Poor",M44&lt;=4.4,"Average",M44&gt;=4.5,"Excellent")</f>
        <v>Not Provided</v>
      </c>
    </row>
    <row r="45" spans="1:15" x14ac:dyDescent="0.25">
      <c r="A45" t="s">
        <v>140</v>
      </c>
      <c r="B45" s="11" t="s">
        <v>141</v>
      </c>
      <c r="C45" s="3">
        <f t="shared" si="0"/>
        <v>2132</v>
      </c>
      <c r="D45" s="11" t="s">
        <v>142</v>
      </c>
      <c r="E45" s="3">
        <f t="shared" si="7"/>
        <v>2169</v>
      </c>
      <c r="F45" s="3">
        <f t="shared" si="1"/>
        <v>37</v>
      </c>
      <c r="G45" s="4">
        <f t="shared" si="2"/>
        <v>1.705855232826187E-2</v>
      </c>
      <c r="H45" s="4" t="str">
        <f t="shared" si="3"/>
        <v>Low Discount</v>
      </c>
      <c r="I45" s="4" t="str" cm="1">
        <f t="array" ref="I45">_xlfn.IFS(G45&lt;0.2,"Low Discount",G45&lt;=0.4,"Medium Discount",G45&gt;0.4,"High Discount")</f>
        <v>Low Discount</v>
      </c>
      <c r="J45" s="11" t="s">
        <v>325</v>
      </c>
      <c r="K45" t="str">
        <f t="shared" si="4"/>
        <v>Not Provided</v>
      </c>
      <c r="L45" s="11" t="s">
        <v>325</v>
      </c>
      <c r="M45" s="5" t="str">
        <f t="shared" si="5"/>
        <v>Not Provided</v>
      </c>
      <c r="N45" t="str">
        <f t="shared" si="6"/>
        <v>Not Provided</v>
      </c>
      <c r="O45" t="str" cm="1">
        <f t="array" ref="O45">_xlfn.IFS(M45="Not Provided","Not Provided",M45&lt;3,"Poor",M45&lt;=4.4,"Average",M45&gt;=4.5,"Excellent")</f>
        <v>Not Provided</v>
      </c>
    </row>
    <row r="46" spans="1:15" x14ac:dyDescent="0.25">
      <c r="A46" t="s">
        <v>143</v>
      </c>
      <c r="B46" s="11" t="s">
        <v>12</v>
      </c>
      <c r="C46" s="3">
        <f t="shared" si="0"/>
        <v>999</v>
      </c>
      <c r="D46" s="11" t="s">
        <v>144</v>
      </c>
      <c r="E46" s="3">
        <f t="shared" si="7"/>
        <v>2000</v>
      </c>
      <c r="F46" s="3">
        <f t="shared" si="1"/>
        <v>1001</v>
      </c>
      <c r="G46" s="4">
        <f t="shared" si="2"/>
        <v>0.50049999999999994</v>
      </c>
      <c r="H46" s="4" t="str">
        <f t="shared" si="3"/>
        <v>High Discount</v>
      </c>
      <c r="I46" s="4" t="str" cm="1">
        <f t="array" ref="I46">_xlfn.IFS(G46&lt;0.2,"Low Discount",G46&lt;=0.4,"Medium Discount",G46&gt;0.4,"High Discount")</f>
        <v>High Discount</v>
      </c>
      <c r="J46" s="11" t="s">
        <v>325</v>
      </c>
      <c r="K46" t="str">
        <f t="shared" si="4"/>
        <v>Not Provided</v>
      </c>
      <c r="L46" s="11" t="s">
        <v>325</v>
      </c>
      <c r="M46" s="5" t="str">
        <f t="shared" si="5"/>
        <v>Not Provided</v>
      </c>
      <c r="N46" t="str">
        <f t="shared" si="6"/>
        <v>Not Provided</v>
      </c>
      <c r="O46" t="str" cm="1">
        <f t="array" ref="O46">_xlfn.IFS(M46="Not Provided","Not Provided",M46&lt;3,"Poor",M46&lt;=4.4,"Average",M46&gt;=4.5,"Excellent")</f>
        <v>Not Provided</v>
      </c>
    </row>
    <row r="47" spans="1:15" x14ac:dyDescent="0.25">
      <c r="A47" t="s">
        <v>145</v>
      </c>
      <c r="B47" s="11" t="s">
        <v>146</v>
      </c>
      <c r="C47" s="3">
        <f t="shared" si="0"/>
        <v>1190</v>
      </c>
      <c r="D47" s="11" t="s">
        <v>147</v>
      </c>
      <c r="E47" s="3">
        <f t="shared" si="7"/>
        <v>1785</v>
      </c>
      <c r="F47" s="3">
        <f t="shared" si="1"/>
        <v>595</v>
      </c>
      <c r="G47" s="4">
        <f t="shared" si="2"/>
        <v>0.33333333333333331</v>
      </c>
      <c r="H47" s="4" t="str">
        <f t="shared" si="3"/>
        <v>Medium Discount</v>
      </c>
      <c r="I47" s="4" t="str" cm="1">
        <f t="array" ref="I47">_xlfn.IFS(G47&lt;0.2,"Low Discount",G47&lt;=0.4,"Medium Discount",G47&gt;0.4,"High Discount")</f>
        <v>Medium Discount</v>
      </c>
      <c r="J47" s="11" t="s">
        <v>325</v>
      </c>
      <c r="K47" t="str">
        <f t="shared" si="4"/>
        <v>Not Provided</v>
      </c>
      <c r="L47" s="11" t="s">
        <v>325</v>
      </c>
      <c r="M47" s="5" t="str">
        <f t="shared" si="5"/>
        <v>Not Provided</v>
      </c>
      <c r="N47" t="str">
        <f t="shared" si="6"/>
        <v>Not Provided</v>
      </c>
      <c r="O47" t="str" cm="1">
        <f t="array" ref="O47">_xlfn.IFS(M47="Not Provided","Not Provided",M47&lt;3,"Poor",M47&lt;=4.4,"Average",M47&gt;=4.5,"Excellent")</f>
        <v>Not Provided</v>
      </c>
    </row>
    <row r="48" spans="1:15" x14ac:dyDescent="0.25">
      <c r="A48" t="s">
        <v>148</v>
      </c>
      <c r="B48" s="11" t="s">
        <v>149</v>
      </c>
      <c r="C48" s="3">
        <f t="shared" si="0"/>
        <v>671</v>
      </c>
      <c r="D48" s="11" t="s">
        <v>150</v>
      </c>
      <c r="E48" s="3">
        <f t="shared" si="7"/>
        <v>1316</v>
      </c>
      <c r="F48" s="3">
        <f t="shared" si="1"/>
        <v>645</v>
      </c>
      <c r="G48" s="4">
        <f t="shared" si="2"/>
        <v>0.49012158054711247</v>
      </c>
      <c r="H48" s="4" t="str">
        <f t="shared" si="3"/>
        <v>High Discount</v>
      </c>
      <c r="I48" s="4" t="str" cm="1">
        <f t="array" ref="I48">_xlfn.IFS(G48&lt;0.2,"Low Discount",G48&lt;=0.4,"Medium Discount",G48&gt;0.4,"High Discount")</f>
        <v>High Discount</v>
      </c>
      <c r="J48" s="11" t="s">
        <v>325</v>
      </c>
      <c r="K48" t="str">
        <f t="shared" si="4"/>
        <v>Not Provided</v>
      </c>
      <c r="L48" s="11" t="s">
        <v>325</v>
      </c>
      <c r="M48" s="5" t="str">
        <f t="shared" si="5"/>
        <v>Not Provided</v>
      </c>
      <c r="N48" t="str">
        <f t="shared" si="6"/>
        <v>Not Provided</v>
      </c>
      <c r="O48" t="str" cm="1">
        <f t="array" ref="O48">_xlfn.IFS(M48="Not Provided","Not Provided",M48&lt;3,"Poor",M48&lt;=4.4,"Average",M48&gt;=4.5,"Excellent")</f>
        <v>Not Provided</v>
      </c>
    </row>
    <row r="49" spans="1:15" x14ac:dyDescent="0.25">
      <c r="A49" t="s">
        <v>151</v>
      </c>
      <c r="B49" s="11" t="s">
        <v>152</v>
      </c>
      <c r="C49" s="3">
        <f t="shared" si="0"/>
        <v>1200</v>
      </c>
      <c r="D49" s="11" t="s">
        <v>153</v>
      </c>
      <c r="E49" s="3">
        <f t="shared" si="7"/>
        <v>1950</v>
      </c>
      <c r="F49" s="3">
        <f t="shared" si="1"/>
        <v>750</v>
      </c>
      <c r="G49" s="4">
        <f t="shared" si="2"/>
        <v>0.38461538461538464</v>
      </c>
      <c r="H49" s="4" t="str">
        <f t="shared" si="3"/>
        <v>Medium Discount</v>
      </c>
      <c r="I49" s="4" t="str" cm="1">
        <f t="array" ref="I49">_xlfn.IFS(G49&lt;0.2,"Low Discount",G49&lt;=0.4,"Medium Discount",G49&gt;0.4,"High Discount")</f>
        <v>Medium Discount</v>
      </c>
      <c r="J49" s="11" t="s">
        <v>325</v>
      </c>
      <c r="K49" t="str">
        <f t="shared" si="4"/>
        <v>Not Provided</v>
      </c>
      <c r="L49" s="11" t="s">
        <v>325</v>
      </c>
      <c r="M49" s="5" t="str">
        <f t="shared" si="5"/>
        <v>Not Provided</v>
      </c>
      <c r="N49" t="str">
        <f t="shared" si="6"/>
        <v>Not Provided</v>
      </c>
      <c r="O49" t="str" cm="1">
        <f t="array" ref="O49">_xlfn.IFS(M49="Not Provided","Not Provided",M49&lt;3,"Poor",M49&lt;=4.4,"Average",M49&gt;=4.5,"Excellent")</f>
        <v>Not Provided</v>
      </c>
    </row>
    <row r="50" spans="1:15" x14ac:dyDescent="0.25">
      <c r="A50" t="s">
        <v>154</v>
      </c>
      <c r="B50" s="11" t="s">
        <v>155</v>
      </c>
      <c r="C50" s="3">
        <f t="shared" si="0"/>
        <v>199</v>
      </c>
      <c r="D50" s="11" t="s">
        <v>156</v>
      </c>
      <c r="E50" s="3">
        <f t="shared" si="7"/>
        <v>504</v>
      </c>
      <c r="F50" s="3">
        <f t="shared" si="1"/>
        <v>305</v>
      </c>
      <c r="G50" s="4">
        <f t="shared" si="2"/>
        <v>0.60515873015873012</v>
      </c>
      <c r="H50" s="4" t="str">
        <f t="shared" si="3"/>
        <v>High Discount</v>
      </c>
      <c r="I50" s="4" t="str" cm="1">
        <f t="array" ref="I50">_xlfn.IFS(G50&lt;0.2,"Low Discount",G50&lt;=0.4,"Medium Discount",G50&gt;0.4,"High Discount")</f>
        <v>High Discount</v>
      </c>
      <c r="J50" s="11" t="s">
        <v>325</v>
      </c>
      <c r="K50" t="str">
        <f t="shared" si="4"/>
        <v>Not Provided</v>
      </c>
      <c r="L50" s="11" t="s">
        <v>325</v>
      </c>
      <c r="M50" s="5" t="str">
        <f t="shared" si="5"/>
        <v>Not Provided</v>
      </c>
      <c r="N50" t="str">
        <f t="shared" si="6"/>
        <v>Not Provided</v>
      </c>
      <c r="O50" t="str" cm="1">
        <f t="array" ref="O50">_xlfn.IFS(M50="Not Provided","Not Provided",M50&lt;3,"Poor",M50&lt;=4.4,"Average",M50&gt;=4.5,"Excellent")</f>
        <v>Not Provided</v>
      </c>
    </row>
    <row r="51" spans="1:15" x14ac:dyDescent="0.25">
      <c r="A51" t="s">
        <v>157</v>
      </c>
      <c r="B51" s="11" t="s">
        <v>158</v>
      </c>
      <c r="C51" s="3">
        <f t="shared" si="0"/>
        <v>299</v>
      </c>
      <c r="D51" s="11" t="s">
        <v>159</v>
      </c>
      <c r="E51" s="3">
        <f t="shared" si="7"/>
        <v>600</v>
      </c>
      <c r="F51" s="3">
        <f t="shared" si="1"/>
        <v>301</v>
      </c>
      <c r="G51" s="4">
        <f t="shared" si="2"/>
        <v>0.50166666666666671</v>
      </c>
      <c r="H51" s="4" t="str">
        <f t="shared" si="3"/>
        <v>High Discount</v>
      </c>
      <c r="I51" s="4" t="str" cm="1">
        <f t="array" ref="I51">_xlfn.IFS(G51&lt;0.2,"Low Discount",G51&lt;=0.4,"Medium Discount",G51&gt;0.4,"High Discount")</f>
        <v>High Discount</v>
      </c>
      <c r="J51" s="11" t="s">
        <v>325</v>
      </c>
      <c r="K51" t="str">
        <f t="shared" si="4"/>
        <v>Not Provided</v>
      </c>
      <c r="L51" s="11" t="s">
        <v>325</v>
      </c>
      <c r="M51" s="5" t="str">
        <f t="shared" si="5"/>
        <v>Not Provided</v>
      </c>
      <c r="N51" t="str">
        <f t="shared" si="6"/>
        <v>Not Provided</v>
      </c>
      <c r="O51" t="str" cm="1">
        <f t="array" ref="O51">_xlfn.IFS(M51="Not Provided","Not Provided",M51&lt;3,"Poor",M51&lt;=4.4,"Average",M51&gt;=4.5,"Excellent")</f>
        <v>Not Provided</v>
      </c>
    </row>
    <row r="52" spans="1:15" x14ac:dyDescent="0.25">
      <c r="A52" t="s">
        <v>160</v>
      </c>
      <c r="B52" s="11" t="s">
        <v>161</v>
      </c>
      <c r="C52" s="3">
        <f t="shared" si="0"/>
        <v>1660</v>
      </c>
      <c r="D52" s="11" t="s">
        <v>162</v>
      </c>
      <c r="E52" s="3">
        <f t="shared" si="7"/>
        <v>1699</v>
      </c>
      <c r="F52" s="3">
        <f t="shared" si="1"/>
        <v>39</v>
      </c>
      <c r="G52" s="4">
        <f t="shared" si="2"/>
        <v>2.2954679223072396E-2</v>
      </c>
      <c r="H52" s="4" t="str">
        <f t="shared" si="3"/>
        <v>Low Discount</v>
      </c>
      <c r="I52" s="4" t="str" cm="1">
        <f t="array" ref="I52">_xlfn.IFS(G52&lt;0.2,"Low Discount",G52&lt;=0.4,"Medium Discount",G52&gt;0.4,"High Discount")</f>
        <v>Low Discount</v>
      </c>
      <c r="J52" s="11" t="s">
        <v>325</v>
      </c>
      <c r="K52" t="str">
        <f t="shared" si="4"/>
        <v>Not Provided</v>
      </c>
      <c r="L52" s="11" t="s">
        <v>325</v>
      </c>
      <c r="M52" s="5" t="str">
        <f t="shared" si="5"/>
        <v>Not Provided</v>
      </c>
      <c r="N52" t="str">
        <f t="shared" si="6"/>
        <v>Not Provided</v>
      </c>
      <c r="O52" t="str" cm="1">
        <f t="array" ref="O52">_xlfn.IFS(M52="Not Provided","Not Provided",M52&lt;3,"Poor",M52&lt;=4.4,"Average",M52&gt;=4.5,"Excellent")</f>
        <v>Not Provided</v>
      </c>
    </row>
    <row r="53" spans="1:15" x14ac:dyDescent="0.25">
      <c r="A53" t="s">
        <v>163</v>
      </c>
      <c r="B53" s="11" t="s">
        <v>158</v>
      </c>
      <c r="C53" s="3">
        <f t="shared" si="0"/>
        <v>299</v>
      </c>
      <c r="D53" s="11" t="s">
        <v>164</v>
      </c>
      <c r="E53" s="3">
        <f t="shared" si="7"/>
        <v>384</v>
      </c>
      <c r="F53" s="3">
        <f t="shared" si="1"/>
        <v>85</v>
      </c>
      <c r="G53" s="4">
        <f t="shared" si="2"/>
        <v>0.22135416666666666</v>
      </c>
      <c r="H53" s="4" t="str">
        <f t="shared" si="3"/>
        <v>Medium Discount</v>
      </c>
      <c r="I53" s="4" t="str" cm="1">
        <f t="array" ref="I53">_xlfn.IFS(G53&lt;0.2,"Low Discount",G53&lt;=0.4,"Medium Discount",G53&gt;0.4,"High Discount")</f>
        <v>Medium Discount</v>
      </c>
      <c r="J53" s="11" t="s">
        <v>325</v>
      </c>
      <c r="K53" t="str">
        <f t="shared" si="4"/>
        <v>Not Provided</v>
      </c>
      <c r="L53" s="11" t="s">
        <v>325</v>
      </c>
      <c r="M53" s="5" t="str">
        <f t="shared" si="5"/>
        <v>Not Provided</v>
      </c>
      <c r="N53" t="str">
        <f t="shared" si="6"/>
        <v>Not Provided</v>
      </c>
      <c r="O53" t="str" cm="1">
        <f t="array" ref="O53">_xlfn.IFS(M53="Not Provided","Not Provided",M53&lt;3,"Poor",M53&lt;=4.4,"Average",M53&gt;=4.5,"Excellent")</f>
        <v>Not Provided</v>
      </c>
    </row>
    <row r="54" spans="1:15" x14ac:dyDescent="0.25">
      <c r="A54" t="s">
        <v>165</v>
      </c>
      <c r="B54" s="11" t="s">
        <v>166</v>
      </c>
      <c r="C54" s="3">
        <f t="shared" si="0"/>
        <v>1459</v>
      </c>
      <c r="D54" s="11" t="s">
        <v>167</v>
      </c>
      <c r="E54" s="3">
        <f t="shared" si="7"/>
        <v>1499</v>
      </c>
      <c r="F54" s="3">
        <f t="shared" si="1"/>
        <v>40</v>
      </c>
      <c r="G54" s="4">
        <f t="shared" si="2"/>
        <v>2.6684456304202801E-2</v>
      </c>
      <c r="H54" s="4" t="str">
        <f t="shared" si="3"/>
        <v>Low Discount</v>
      </c>
      <c r="I54" s="4" t="str" cm="1">
        <f t="array" ref="I54">_xlfn.IFS(G54&lt;0.2,"Low Discount",G54&lt;=0.4,"Medium Discount",G54&gt;0.4,"High Discount")</f>
        <v>Low Discount</v>
      </c>
      <c r="J54" s="11" t="s">
        <v>325</v>
      </c>
      <c r="K54" t="str">
        <f t="shared" si="4"/>
        <v>Not Provided</v>
      </c>
      <c r="L54" s="11" t="s">
        <v>325</v>
      </c>
      <c r="M54" s="5" t="str">
        <f t="shared" si="5"/>
        <v>Not Provided</v>
      </c>
      <c r="N54" t="str">
        <f t="shared" si="6"/>
        <v>Not Provided</v>
      </c>
      <c r="O54" t="str" cm="1">
        <f t="array" ref="O54">_xlfn.IFS(M54="Not Provided","Not Provided",M54&lt;3,"Poor",M54&lt;=4.4,"Average",M54&gt;=4.5,"Excellent")</f>
        <v>Not Provided</v>
      </c>
    </row>
    <row r="55" spans="1:15" x14ac:dyDescent="0.25">
      <c r="A55" t="s">
        <v>168</v>
      </c>
      <c r="B55" s="11" t="s">
        <v>43</v>
      </c>
      <c r="C55" s="3">
        <f t="shared" si="0"/>
        <v>799</v>
      </c>
      <c r="D55" s="11" t="s">
        <v>169</v>
      </c>
      <c r="E55" s="3">
        <f t="shared" si="7"/>
        <v>1343</v>
      </c>
      <c r="F55" s="3">
        <f t="shared" si="1"/>
        <v>544</v>
      </c>
      <c r="G55" s="4">
        <f t="shared" si="2"/>
        <v>0.4050632911392405</v>
      </c>
      <c r="H55" s="4" t="str">
        <f t="shared" si="3"/>
        <v>High Discount</v>
      </c>
      <c r="I55" s="4" t="str" cm="1">
        <f t="array" ref="I55">_xlfn.IFS(G55&lt;0.2,"Low Discount",G55&lt;=0.4,"Medium Discount",G55&gt;0.4,"High Discount")</f>
        <v>High Discount</v>
      </c>
      <c r="J55" s="11" t="s">
        <v>325</v>
      </c>
      <c r="K55" t="str">
        <f t="shared" si="4"/>
        <v>Not Provided</v>
      </c>
      <c r="L55" s="11" t="s">
        <v>325</v>
      </c>
      <c r="M55" s="5" t="str">
        <f t="shared" si="5"/>
        <v>Not Provided</v>
      </c>
      <c r="N55" t="str">
        <f t="shared" si="6"/>
        <v>Not Provided</v>
      </c>
      <c r="O55" t="str" cm="1">
        <f t="array" ref="O55">_xlfn.IFS(M55="Not Provided","Not Provided",M55&lt;3,"Poor",M55&lt;=4.4,"Average",M55&gt;=4.5,"Excellent")</f>
        <v>Not Provided</v>
      </c>
    </row>
    <row r="56" spans="1:15" x14ac:dyDescent="0.25">
      <c r="A56" t="s">
        <v>170</v>
      </c>
      <c r="B56" s="11" t="s">
        <v>171</v>
      </c>
      <c r="C56" s="3">
        <f t="shared" si="0"/>
        <v>499</v>
      </c>
      <c r="D56" s="11" t="s">
        <v>172</v>
      </c>
      <c r="E56" s="3">
        <f t="shared" si="7"/>
        <v>900</v>
      </c>
      <c r="F56" s="3">
        <f t="shared" si="1"/>
        <v>401</v>
      </c>
      <c r="G56" s="4">
        <f t="shared" si="2"/>
        <v>0.44555555555555554</v>
      </c>
      <c r="H56" s="4" t="str">
        <f t="shared" si="3"/>
        <v>High Discount</v>
      </c>
      <c r="I56" s="4" t="str" cm="1">
        <f t="array" ref="I56">_xlfn.IFS(G56&lt;0.2,"Low Discount",G56&lt;=0.4,"Medium Discount",G56&gt;0.4,"High Discount")</f>
        <v>High Discount</v>
      </c>
      <c r="J56" s="11" t="s">
        <v>325</v>
      </c>
      <c r="K56" t="str">
        <f t="shared" si="4"/>
        <v>Not Provided</v>
      </c>
      <c r="L56" s="11" t="s">
        <v>325</v>
      </c>
      <c r="M56" s="5" t="str">
        <f t="shared" si="5"/>
        <v>Not Provided</v>
      </c>
      <c r="N56" t="str">
        <f t="shared" si="6"/>
        <v>Not Provided</v>
      </c>
      <c r="O56" t="str" cm="1">
        <f t="array" ref="O56">_xlfn.IFS(M56="Not Provided","Not Provided",M56&lt;3,"Poor",M56&lt;=4.4,"Average",M56&gt;=4.5,"Excellent")</f>
        <v>Not Provided</v>
      </c>
    </row>
    <row r="57" spans="1:15" x14ac:dyDescent="0.25">
      <c r="A57" t="s">
        <v>173</v>
      </c>
      <c r="B57" s="11" t="s">
        <v>174</v>
      </c>
      <c r="C57" s="3">
        <f t="shared" si="0"/>
        <v>699</v>
      </c>
      <c r="D57" s="11" t="s">
        <v>169</v>
      </c>
      <c r="E57" s="3">
        <f t="shared" si="7"/>
        <v>1343</v>
      </c>
      <c r="F57" s="3">
        <f t="shared" si="1"/>
        <v>644</v>
      </c>
      <c r="G57" s="4">
        <f t="shared" si="2"/>
        <v>0.47952345495160087</v>
      </c>
      <c r="H57" s="4" t="str">
        <f t="shared" si="3"/>
        <v>High Discount</v>
      </c>
      <c r="I57" s="4" t="str" cm="1">
        <f t="array" ref="I57">_xlfn.IFS(G57&lt;0.2,"Low Discount",G57&lt;=0.4,"Medium Discount",G57&gt;0.4,"High Discount")</f>
        <v>High Discount</v>
      </c>
      <c r="J57" s="11" t="s">
        <v>325</v>
      </c>
      <c r="K57" t="str">
        <f t="shared" si="4"/>
        <v>Not Provided</v>
      </c>
      <c r="L57" s="11" t="s">
        <v>325</v>
      </c>
      <c r="M57" s="5" t="str">
        <f t="shared" si="5"/>
        <v>Not Provided</v>
      </c>
      <c r="N57" t="str">
        <f t="shared" si="6"/>
        <v>Not Provided</v>
      </c>
      <c r="O57" t="str" cm="1">
        <f t="array" ref="O57">_xlfn.IFS(M57="Not Provided","Not Provided",M57&lt;3,"Poor",M57&lt;=4.4,"Average",M57&gt;=4.5,"Excellent")</f>
        <v>Not Provided</v>
      </c>
    </row>
    <row r="58" spans="1:15" x14ac:dyDescent="0.25">
      <c r="A58" t="s">
        <v>175</v>
      </c>
      <c r="B58" s="11" t="s">
        <v>43</v>
      </c>
      <c r="C58" s="3">
        <f t="shared" si="0"/>
        <v>799</v>
      </c>
      <c r="D58" s="11" t="s">
        <v>176</v>
      </c>
      <c r="E58" s="3">
        <f t="shared" si="7"/>
        <v>1567</v>
      </c>
      <c r="F58" s="3">
        <f t="shared" si="1"/>
        <v>768</v>
      </c>
      <c r="G58" s="4">
        <f t="shared" si="2"/>
        <v>0.49010848755583919</v>
      </c>
      <c r="H58" s="4" t="str">
        <f t="shared" si="3"/>
        <v>High Discount</v>
      </c>
      <c r="I58" s="4" t="str" cm="1">
        <f t="array" ref="I58">_xlfn.IFS(G58&lt;0.2,"Low Discount",G58&lt;=0.4,"Medium Discount",G58&gt;0.4,"High Discount")</f>
        <v>High Discount</v>
      </c>
      <c r="J58" s="11" t="s">
        <v>325</v>
      </c>
      <c r="K58" t="str">
        <f t="shared" si="4"/>
        <v>Not Provided</v>
      </c>
      <c r="L58" s="11" t="s">
        <v>325</v>
      </c>
      <c r="M58" s="5" t="str">
        <f t="shared" si="5"/>
        <v>Not Provided</v>
      </c>
      <c r="N58" t="str">
        <f t="shared" si="6"/>
        <v>Not Provided</v>
      </c>
      <c r="O58" t="str" cm="1">
        <f t="array" ref="O58">_xlfn.IFS(M58="Not Provided","Not Provided",M58&lt;3,"Poor",M58&lt;=4.4,"Average",M58&gt;=4.5,"Excellent")</f>
        <v>Not Provided</v>
      </c>
    </row>
    <row r="59" spans="1:15" x14ac:dyDescent="0.25">
      <c r="A59" t="s">
        <v>177</v>
      </c>
      <c r="B59" s="11" t="s">
        <v>178</v>
      </c>
      <c r="C59" s="3">
        <f t="shared" si="0"/>
        <v>2799</v>
      </c>
      <c r="D59" s="11" t="s">
        <v>179</v>
      </c>
      <c r="E59" s="3">
        <f t="shared" si="7"/>
        <v>3810</v>
      </c>
      <c r="F59" s="3">
        <f t="shared" si="1"/>
        <v>1011</v>
      </c>
      <c r="G59" s="4">
        <f t="shared" si="2"/>
        <v>0.26535433070866143</v>
      </c>
      <c r="H59" s="4" t="str">
        <f t="shared" si="3"/>
        <v>Medium Discount</v>
      </c>
      <c r="I59" s="4" t="str" cm="1">
        <f t="array" ref="I59">_xlfn.IFS(G59&lt;0.2,"Low Discount",G59&lt;=0.4,"Medium Discount",G59&gt;0.4,"High Discount")</f>
        <v>Medium Discount</v>
      </c>
      <c r="J59" s="11" t="s">
        <v>325</v>
      </c>
      <c r="K59" t="str">
        <f t="shared" si="4"/>
        <v>Not Provided</v>
      </c>
      <c r="L59" s="11" t="s">
        <v>325</v>
      </c>
      <c r="M59" s="5" t="str">
        <f t="shared" si="5"/>
        <v>Not Provided</v>
      </c>
      <c r="N59" t="str">
        <f t="shared" si="6"/>
        <v>Not Provided</v>
      </c>
      <c r="O59" t="str" cm="1">
        <f t="array" ref="O59">_xlfn.IFS(M59="Not Provided","Not Provided",M59&lt;3,"Poor",M59&lt;=4.4,"Average",M59&gt;=4.5,"Excellent")</f>
        <v>Not Provided</v>
      </c>
    </row>
    <row r="60" spans="1:15" x14ac:dyDescent="0.25">
      <c r="A60" t="s">
        <v>170</v>
      </c>
      <c r="B60" s="11" t="s">
        <v>180</v>
      </c>
      <c r="C60" s="3">
        <f t="shared" si="0"/>
        <v>399</v>
      </c>
      <c r="D60" s="11" t="s">
        <v>181</v>
      </c>
      <c r="E60" s="3">
        <f t="shared" si="7"/>
        <v>896</v>
      </c>
      <c r="F60" s="3">
        <f t="shared" si="1"/>
        <v>497</v>
      </c>
      <c r="G60" s="4">
        <f t="shared" si="2"/>
        <v>0.5546875</v>
      </c>
      <c r="H60" s="4" t="str">
        <f t="shared" si="3"/>
        <v>High Discount</v>
      </c>
      <c r="I60" s="4" t="str" cm="1">
        <f t="array" ref="I60">_xlfn.IFS(G60&lt;0.2,"Low Discount",G60&lt;=0.4,"Medium Discount",G60&gt;0.4,"High Discount")</f>
        <v>High Discount</v>
      </c>
      <c r="J60" s="11" t="s">
        <v>325</v>
      </c>
      <c r="K60" t="str">
        <f t="shared" si="4"/>
        <v>Not Provided</v>
      </c>
      <c r="L60" s="11" t="s">
        <v>325</v>
      </c>
      <c r="M60" s="5" t="str">
        <f t="shared" si="5"/>
        <v>Not Provided</v>
      </c>
      <c r="N60" t="str">
        <f t="shared" si="6"/>
        <v>Not Provided</v>
      </c>
      <c r="O60" t="str" cm="1">
        <f t="array" ref="O60">_xlfn.IFS(M60="Not Provided","Not Provided",M60&lt;3,"Poor",M60&lt;=4.4,"Average",M60&gt;=4.5,"Excellent")</f>
        <v>Not Provided</v>
      </c>
    </row>
    <row r="61" spans="1:15" x14ac:dyDescent="0.25">
      <c r="A61" t="s">
        <v>182</v>
      </c>
      <c r="B61" s="11" t="s">
        <v>183</v>
      </c>
      <c r="C61" s="3">
        <f t="shared" si="0"/>
        <v>2170</v>
      </c>
      <c r="D61" s="11" t="s">
        <v>184</v>
      </c>
      <c r="E61" s="3">
        <f t="shared" si="7"/>
        <v>2500</v>
      </c>
      <c r="F61" s="3">
        <f t="shared" si="1"/>
        <v>330</v>
      </c>
      <c r="G61" s="4">
        <f t="shared" si="2"/>
        <v>0.13200000000000001</v>
      </c>
      <c r="H61" s="4" t="str">
        <f t="shared" si="3"/>
        <v>Low Discount</v>
      </c>
      <c r="I61" s="4" t="str" cm="1">
        <f t="array" ref="I61">_xlfn.IFS(G61&lt;0.2,"Low Discount",G61&lt;=0.4,"Medium Discount",G61&gt;0.4,"High Discount")</f>
        <v>Low Discount</v>
      </c>
      <c r="J61" s="11">
        <v>-6</v>
      </c>
      <c r="K61">
        <f t="shared" si="4"/>
        <v>6</v>
      </c>
      <c r="L61" s="11" t="s">
        <v>185</v>
      </c>
      <c r="M61" s="5">
        <f t="shared" si="5"/>
        <v>2.5</v>
      </c>
      <c r="N61" t="str">
        <f t="shared" si="6"/>
        <v>Poor</v>
      </c>
      <c r="O61" t="str" cm="1">
        <f t="array" ref="O61">_xlfn.IFS(M61="Not Provided","Not Provided",M61&lt;3,"Poor",M61&lt;=4.4,"Average",M61&gt;=4.5,"Excellent")</f>
        <v>Poor</v>
      </c>
    </row>
    <row r="62" spans="1:15" x14ac:dyDescent="0.25">
      <c r="A62" t="s">
        <v>186</v>
      </c>
      <c r="B62" s="11" t="s">
        <v>187</v>
      </c>
      <c r="C62" s="3">
        <f t="shared" si="0"/>
        <v>458</v>
      </c>
      <c r="D62" s="11" t="s">
        <v>188</v>
      </c>
      <c r="E62" s="3">
        <f t="shared" si="7"/>
        <v>986</v>
      </c>
      <c r="F62" s="3">
        <f t="shared" si="1"/>
        <v>528</v>
      </c>
      <c r="G62" s="4">
        <f t="shared" si="2"/>
        <v>0.53549695740365111</v>
      </c>
      <c r="H62" s="4" t="str">
        <f t="shared" si="3"/>
        <v>High Discount</v>
      </c>
      <c r="I62" s="4" t="str" cm="1">
        <f t="array" ref="I62">_xlfn.IFS(G62&lt;0.2,"Low Discount",G62&lt;=0.4,"Medium Discount",G62&gt;0.4,"High Discount")</f>
        <v>High Discount</v>
      </c>
      <c r="J62" s="11">
        <v>-10</v>
      </c>
      <c r="K62">
        <f t="shared" si="4"/>
        <v>10</v>
      </c>
      <c r="L62" s="11" t="s">
        <v>189</v>
      </c>
      <c r="M62" s="5">
        <f t="shared" si="5"/>
        <v>3</v>
      </c>
      <c r="N62" t="str">
        <f t="shared" si="6"/>
        <v>Average</v>
      </c>
      <c r="O62" t="str" cm="1">
        <f t="array" ref="O62">_xlfn.IFS(M62="Not Provided","Not Provided",M62&lt;3,"Poor",M62&lt;=4.4,"Average",M62&gt;=4.5,"Excellent")</f>
        <v>Average</v>
      </c>
    </row>
    <row r="63" spans="1:15" x14ac:dyDescent="0.25">
      <c r="A63" t="s">
        <v>190</v>
      </c>
      <c r="B63" s="11" t="s">
        <v>191</v>
      </c>
      <c r="C63" s="3">
        <f t="shared" si="0"/>
        <v>2115</v>
      </c>
      <c r="D63" s="11" t="s">
        <v>192</v>
      </c>
      <c r="E63" s="3">
        <f t="shared" si="7"/>
        <v>4700</v>
      </c>
      <c r="F63" s="3">
        <f t="shared" si="1"/>
        <v>2585</v>
      </c>
      <c r="G63" s="4">
        <f t="shared" si="2"/>
        <v>0.55000000000000004</v>
      </c>
      <c r="H63" s="4" t="str">
        <f t="shared" si="3"/>
        <v>High Discount</v>
      </c>
      <c r="I63" s="4" t="str" cm="1">
        <f t="array" ref="I63">_xlfn.IFS(G63&lt;0.2,"Low Discount",G63&lt;=0.4,"Medium Discount",G63&gt;0.4,"High Discount")</f>
        <v>High Discount</v>
      </c>
      <c r="J63" s="11">
        <v>-13</v>
      </c>
      <c r="K63">
        <f t="shared" si="4"/>
        <v>13</v>
      </c>
      <c r="L63" s="11" t="s">
        <v>193</v>
      </c>
      <c r="M63" s="5">
        <f t="shared" si="5"/>
        <v>2.1</v>
      </c>
      <c r="N63" t="str">
        <f t="shared" si="6"/>
        <v>Poor</v>
      </c>
      <c r="O63" t="str" cm="1">
        <f t="array" ref="O63">_xlfn.IFS(M63="Not Provided","Not Provided",M63&lt;3,"Poor",M63&lt;=4.4,"Average",M63&gt;=4.5,"Excellent")</f>
        <v>Poor</v>
      </c>
    </row>
    <row r="64" spans="1:15" x14ac:dyDescent="0.25">
      <c r="A64" t="s">
        <v>194</v>
      </c>
      <c r="B64" s="11" t="s">
        <v>195</v>
      </c>
      <c r="C64" s="3">
        <f t="shared" si="0"/>
        <v>445</v>
      </c>
      <c r="D64" s="11" t="s">
        <v>196</v>
      </c>
      <c r="E64" s="3">
        <f t="shared" si="7"/>
        <v>873</v>
      </c>
      <c r="F64" s="3">
        <f t="shared" si="1"/>
        <v>428</v>
      </c>
      <c r="G64" s="4">
        <f t="shared" si="2"/>
        <v>0.49026345933562426</v>
      </c>
      <c r="H64" s="4" t="str">
        <f t="shared" si="3"/>
        <v>High Discount</v>
      </c>
      <c r="I64" s="4" t="str" cm="1">
        <f t="array" ref="I64">_xlfn.IFS(G64&lt;0.2,"Low Discount",G64&lt;=0.4,"Medium Discount",G64&gt;0.4,"High Discount")</f>
        <v>High Discount</v>
      </c>
      <c r="J64" s="11">
        <v>-69</v>
      </c>
      <c r="K64">
        <f t="shared" si="4"/>
        <v>69</v>
      </c>
      <c r="L64" s="11" t="s">
        <v>197</v>
      </c>
      <c r="M64" s="5">
        <f t="shared" si="5"/>
        <v>2.8</v>
      </c>
      <c r="N64" t="str">
        <f t="shared" si="6"/>
        <v>Poor</v>
      </c>
      <c r="O64" t="str" cm="1">
        <f t="array" ref="O64">_xlfn.IFS(M64="Not Provided","Not Provided",M64&lt;3,"Poor",M64&lt;=4.4,"Average",M64&gt;=4.5,"Excellent")</f>
        <v>Poor</v>
      </c>
    </row>
    <row r="65" spans="1:15" x14ac:dyDescent="0.25">
      <c r="A65" t="s">
        <v>198</v>
      </c>
      <c r="B65" s="11" t="s">
        <v>199</v>
      </c>
      <c r="C65" s="3">
        <f t="shared" si="0"/>
        <v>325</v>
      </c>
      <c r="D65" s="11" t="s">
        <v>200</v>
      </c>
      <c r="E65" s="3">
        <f t="shared" si="7"/>
        <v>680</v>
      </c>
      <c r="F65" s="3">
        <f t="shared" si="1"/>
        <v>355</v>
      </c>
      <c r="G65" s="4">
        <f t="shared" si="2"/>
        <v>0.5220588235294118</v>
      </c>
      <c r="H65" s="4" t="str">
        <f t="shared" si="3"/>
        <v>High Discount</v>
      </c>
      <c r="I65" s="4" t="str" cm="1">
        <f t="array" ref="I65">_xlfn.IFS(G65&lt;0.2,"Low Discount",G65&lt;=0.4,"Medium Discount",G65&gt;0.4,"High Discount")</f>
        <v>High Discount</v>
      </c>
      <c r="J65" s="11">
        <v>-15</v>
      </c>
      <c r="K65">
        <f t="shared" si="4"/>
        <v>15</v>
      </c>
      <c r="L65" s="11" t="s">
        <v>201</v>
      </c>
      <c r="M65" s="5">
        <f t="shared" si="5"/>
        <v>2.7</v>
      </c>
      <c r="N65" t="str">
        <f t="shared" si="6"/>
        <v>Poor</v>
      </c>
      <c r="O65" t="str" cm="1">
        <f t="array" ref="O65">_xlfn.IFS(M65="Not Provided","Not Provided",M65&lt;3,"Poor",M65&lt;=4.4,"Average",M65&gt;=4.5,"Excellent")</f>
        <v>Poor</v>
      </c>
    </row>
    <row r="66" spans="1:15" x14ac:dyDescent="0.25">
      <c r="A66" t="s">
        <v>202</v>
      </c>
      <c r="B66" s="11" t="s">
        <v>203</v>
      </c>
      <c r="C66" s="3">
        <f t="shared" si="0"/>
        <v>1220</v>
      </c>
      <c r="D66" s="11" t="s">
        <v>204</v>
      </c>
      <c r="E66" s="3">
        <f t="shared" si="7"/>
        <v>1555</v>
      </c>
      <c r="F66" s="3">
        <f t="shared" si="1"/>
        <v>335</v>
      </c>
      <c r="G66" s="4">
        <f t="shared" si="2"/>
        <v>0.21543408360128619</v>
      </c>
      <c r="H66" s="4" t="str">
        <f t="shared" si="3"/>
        <v>Medium Discount</v>
      </c>
      <c r="I66" s="4" t="str" cm="1">
        <f t="array" ref="I66">_xlfn.IFS(G66&lt;0.2,"Low Discount",G66&lt;=0.4,"Medium Discount",G66&gt;0.4,"High Discount")</f>
        <v>Medium Discount</v>
      </c>
      <c r="J66" s="11">
        <v>-16</v>
      </c>
      <c r="K66">
        <f t="shared" si="4"/>
        <v>16</v>
      </c>
      <c r="L66" s="11" t="s">
        <v>205</v>
      </c>
      <c r="M66" s="5">
        <f t="shared" si="5"/>
        <v>2.9</v>
      </c>
      <c r="N66" t="str">
        <f t="shared" si="6"/>
        <v>Poor</v>
      </c>
      <c r="O66" t="str" cm="1">
        <f t="array" ref="O66">_xlfn.IFS(M66="Not Provided","Not Provided",M66&lt;3,"Poor",M66&lt;=4.4,"Average",M66&gt;=4.5,"Excellent")</f>
        <v>Poor</v>
      </c>
    </row>
    <row r="67" spans="1:15" x14ac:dyDescent="0.25">
      <c r="A67" t="s">
        <v>206</v>
      </c>
      <c r="B67" s="11" t="s">
        <v>45</v>
      </c>
      <c r="C67" s="3">
        <f t="shared" ref="C67:C113" si="8">IFERROR(VALUE(SUBSTITUTE(SUBSTITUTE(TRIM(B67),"KSh",""),",","")),0)</f>
        <v>990</v>
      </c>
      <c r="D67" s="11" t="s">
        <v>207</v>
      </c>
      <c r="E67" s="3">
        <f t="shared" ref="E67:E113" si="9">IFERROR(VALUE(SUBSTITUTE(SUBSTITUTE(TRIM(D67),"KSh",""),",","")),0)</f>
        <v>1814</v>
      </c>
      <c r="F67" s="3">
        <f t="shared" ref="F67:F113" si="10">E67-C67</f>
        <v>824</v>
      </c>
      <c r="G67" s="4">
        <f t="shared" ref="G67:G113" si="11">(E67 - C67) / E67</f>
        <v>0.45424476295479604</v>
      </c>
      <c r="H67" s="4" t="str">
        <f t="shared" ref="H67:H113" si="12">IF(G67&lt;0.2,"Low Discount",IF(G67&lt;=0.4,"Medium Discount","High Discount"))</f>
        <v>High Discount</v>
      </c>
      <c r="I67" s="4" t="str" cm="1">
        <f t="array" ref="I67">_xlfn.IFS(G67&lt;0.2,"Low Discount",G67&lt;=0.4,"Medium Discount",G67&gt;0.4,"High Discount")</f>
        <v>High Discount</v>
      </c>
      <c r="J67" s="11">
        <v>-6</v>
      </c>
      <c r="K67">
        <f t="shared" ref="K67:K113" si="13">IF(J67&lt;0,-J67,J67)</f>
        <v>6</v>
      </c>
      <c r="L67" s="11" t="s">
        <v>208</v>
      </c>
      <c r="M67" s="5">
        <f t="shared" ref="M67:M113" si="14">IFERROR(VALUE(SUBSTITUTE(TRIM(L67)," out of 5","")),L67)</f>
        <v>2.2000000000000002</v>
      </c>
      <c r="N67" t="str">
        <f t="shared" ref="N67:N113" si="15">IF(M67="Not Provided","Not Provided",IF(M67&lt;3,"Poor",IF(M67&lt;=4.4,"Average","Excellent")))</f>
        <v>Poor</v>
      </c>
      <c r="O67" t="str" cm="1">
        <f t="array" ref="O67">_xlfn.IFS(M67="Not Provided","Not Provided",M67&lt;3,"Poor",M67&lt;=4.4,"Average",M67&gt;=4.5,"Excellent")</f>
        <v>Poor</v>
      </c>
    </row>
    <row r="68" spans="1:15" x14ac:dyDescent="0.25">
      <c r="A68" t="s">
        <v>209</v>
      </c>
      <c r="B68" s="11" t="s">
        <v>210</v>
      </c>
      <c r="C68" s="3">
        <f t="shared" si="8"/>
        <v>1000</v>
      </c>
      <c r="D68" s="11" t="s">
        <v>144</v>
      </c>
      <c r="E68" s="3">
        <f t="shared" si="9"/>
        <v>2000</v>
      </c>
      <c r="F68" s="3">
        <f t="shared" si="10"/>
        <v>1000</v>
      </c>
      <c r="G68" s="4">
        <f t="shared" si="11"/>
        <v>0.5</v>
      </c>
      <c r="H68" s="4" t="str">
        <f t="shared" si="12"/>
        <v>High Discount</v>
      </c>
      <c r="I68" s="4" t="str" cm="1">
        <f t="array" ref="I68">_xlfn.IFS(G68&lt;0.2,"Low Discount",G68&lt;=0.4,"Medium Discount",G68&gt;0.4,"High Discount")</f>
        <v>High Discount</v>
      </c>
      <c r="J68" s="11">
        <v>-7</v>
      </c>
      <c r="K68">
        <f t="shared" si="13"/>
        <v>7</v>
      </c>
      <c r="L68" s="11" t="s">
        <v>211</v>
      </c>
      <c r="M68" s="5">
        <f t="shared" si="14"/>
        <v>2.2999999999999998</v>
      </c>
      <c r="N68" t="str">
        <f t="shared" si="15"/>
        <v>Poor</v>
      </c>
      <c r="O68" t="str" cm="1">
        <f t="array" ref="O68">_xlfn.IFS(M68="Not Provided","Not Provided",M68&lt;3,"Poor",M68&lt;=4.4,"Average",M68&gt;=4.5,"Excellent")</f>
        <v>Poor</v>
      </c>
    </row>
    <row r="69" spans="1:15" x14ac:dyDescent="0.25">
      <c r="A69" t="s">
        <v>212</v>
      </c>
      <c r="B69" s="11" t="s">
        <v>213</v>
      </c>
      <c r="C69" s="3">
        <f t="shared" si="8"/>
        <v>3750</v>
      </c>
      <c r="D69" s="11" t="s">
        <v>214</v>
      </c>
      <c r="E69" s="3">
        <f t="shared" si="9"/>
        <v>6143</v>
      </c>
      <c r="F69" s="3">
        <f t="shared" si="10"/>
        <v>2393</v>
      </c>
      <c r="G69" s="4">
        <f t="shared" si="11"/>
        <v>0.38954908025394758</v>
      </c>
      <c r="H69" s="4" t="str">
        <f t="shared" si="12"/>
        <v>Medium Discount</v>
      </c>
      <c r="I69" s="4" t="str" cm="1">
        <f t="array" ref="I69">_xlfn.IFS(G69&lt;0.2,"Low Discount",G69&lt;=0.4,"Medium Discount",G69&gt;0.4,"High Discount")</f>
        <v>Medium Discount</v>
      </c>
      <c r="J69" s="11">
        <v>-5</v>
      </c>
      <c r="K69">
        <f t="shared" si="13"/>
        <v>5</v>
      </c>
      <c r="L69" s="11" t="s">
        <v>189</v>
      </c>
      <c r="M69" s="5">
        <f t="shared" si="14"/>
        <v>3</v>
      </c>
      <c r="N69" t="str">
        <f t="shared" si="15"/>
        <v>Average</v>
      </c>
      <c r="O69" t="str" cm="1">
        <f t="array" ref="O69">_xlfn.IFS(M69="Not Provided","Not Provided",M69&lt;3,"Poor",M69&lt;=4.4,"Average",M69&gt;=4.5,"Excellent")</f>
        <v>Average</v>
      </c>
    </row>
    <row r="70" spans="1:15" x14ac:dyDescent="0.25">
      <c r="A70" t="s">
        <v>215</v>
      </c>
      <c r="B70" s="11" t="s">
        <v>104</v>
      </c>
      <c r="C70" s="3">
        <f t="shared" si="8"/>
        <v>382</v>
      </c>
      <c r="D70" s="11" t="s">
        <v>216</v>
      </c>
      <c r="E70" s="3">
        <f t="shared" si="9"/>
        <v>700</v>
      </c>
      <c r="F70" s="3">
        <f t="shared" si="10"/>
        <v>318</v>
      </c>
      <c r="G70" s="4">
        <f t="shared" si="11"/>
        <v>0.45428571428571429</v>
      </c>
      <c r="H70" s="4" t="str">
        <f t="shared" si="12"/>
        <v>High Discount</v>
      </c>
      <c r="I70" s="4" t="str" cm="1">
        <f t="array" ref="I70">_xlfn.IFS(G70&lt;0.2,"Low Discount",G70&lt;=0.4,"Medium Discount",G70&gt;0.4,"High Discount")</f>
        <v>High Discount</v>
      </c>
      <c r="J70" s="11">
        <v>-17</v>
      </c>
      <c r="K70">
        <f t="shared" si="13"/>
        <v>17</v>
      </c>
      <c r="L70" s="11" t="s">
        <v>217</v>
      </c>
      <c r="M70" s="5">
        <f t="shared" si="14"/>
        <v>2.6</v>
      </c>
      <c r="N70" t="str">
        <f t="shared" si="15"/>
        <v>Poor</v>
      </c>
      <c r="O70" t="str" cm="1">
        <f t="array" ref="O70">_xlfn.IFS(M70="Not Provided","Not Provided",M70&lt;3,"Poor",M70&lt;=4.4,"Average",M70&gt;=4.5,"Excellent")</f>
        <v>Poor</v>
      </c>
    </row>
    <row r="71" spans="1:15" x14ac:dyDescent="0.25">
      <c r="A71" t="s">
        <v>218</v>
      </c>
      <c r="B71" s="11" t="s">
        <v>219</v>
      </c>
      <c r="C71" s="3">
        <f t="shared" si="8"/>
        <v>2300</v>
      </c>
      <c r="D71" s="11" t="s">
        <v>220</v>
      </c>
      <c r="E71" s="3">
        <f t="shared" si="9"/>
        <v>3240</v>
      </c>
      <c r="F71" s="3">
        <f t="shared" si="10"/>
        <v>940</v>
      </c>
      <c r="G71" s="4">
        <f t="shared" si="11"/>
        <v>0.29012345679012347</v>
      </c>
      <c r="H71" s="4" t="str">
        <f t="shared" si="12"/>
        <v>Medium Discount</v>
      </c>
      <c r="I71" s="4" t="str" cm="1">
        <f t="array" ref="I71">_xlfn.IFS(G71&lt;0.2,"Low Discount",G71&lt;=0.4,"Medium Discount",G71&gt;0.4,"High Discount")</f>
        <v>Medium Discount</v>
      </c>
      <c r="J71" s="11">
        <v>-5</v>
      </c>
      <c r="K71">
        <f t="shared" si="13"/>
        <v>5</v>
      </c>
      <c r="L71" s="11" t="s">
        <v>189</v>
      </c>
      <c r="M71" s="5">
        <f t="shared" si="14"/>
        <v>3</v>
      </c>
      <c r="N71" t="str">
        <f t="shared" si="15"/>
        <v>Average</v>
      </c>
      <c r="O71" t="str" cm="1">
        <f t="array" ref="O71">_xlfn.IFS(M71="Not Provided","Not Provided",M71&lt;3,"Poor",M71&lt;=4.4,"Average",M71&gt;=4.5,"Excellent")</f>
        <v>Average</v>
      </c>
    </row>
    <row r="72" spans="1:15" x14ac:dyDescent="0.25">
      <c r="A72" t="s">
        <v>221</v>
      </c>
      <c r="B72" s="11" t="s">
        <v>222</v>
      </c>
      <c r="C72" s="3">
        <f t="shared" si="8"/>
        <v>345</v>
      </c>
      <c r="D72" s="11" t="s">
        <v>223</v>
      </c>
      <c r="E72" s="3">
        <f t="shared" si="9"/>
        <v>602</v>
      </c>
      <c r="F72" s="3">
        <f t="shared" si="10"/>
        <v>257</v>
      </c>
      <c r="G72" s="4">
        <f t="shared" si="11"/>
        <v>0.42691029900332228</v>
      </c>
      <c r="H72" s="4" t="str">
        <f t="shared" si="12"/>
        <v>High Discount</v>
      </c>
      <c r="I72" s="4" t="str" cm="1">
        <f t="array" ref="I72">_xlfn.IFS(G72&lt;0.2,"Low Discount",G72&lt;=0.4,"Medium Discount",G72&gt;0.4,"High Discount")</f>
        <v>High Discount</v>
      </c>
      <c r="J72" s="11">
        <v>-6</v>
      </c>
      <c r="K72">
        <f t="shared" si="13"/>
        <v>6</v>
      </c>
      <c r="L72" s="11" t="s">
        <v>211</v>
      </c>
      <c r="M72" s="5">
        <f t="shared" si="14"/>
        <v>2.2999999999999998</v>
      </c>
      <c r="N72" t="str">
        <f t="shared" si="15"/>
        <v>Poor</v>
      </c>
      <c r="O72" t="str" cm="1">
        <f t="array" ref="O72">_xlfn.IFS(M72="Not Provided","Not Provided",M72&lt;3,"Poor",M72&lt;=4.4,"Average",M72&gt;=4.5,"Excellent")</f>
        <v>Poor</v>
      </c>
    </row>
    <row r="73" spans="1:15" x14ac:dyDescent="0.25">
      <c r="A73" t="s">
        <v>224</v>
      </c>
      <c r="B73" s="11" t="s">
        <v>225</v>
      </c>
      <c r="C73" s="3">
        <f t="shared" si="8"/>
        <v>509</v>
      </c>
      <c r="D73" s="11" t="s">
        <v>226</v>
      </c>
      <c r="E73" s="3">
        <f t="shared" si="9"/>
        <v>899</v>
      </c>
      <c r="F73" s="3">
        <f t="shared" si="10"/>
        <v>390</v>
      </c>
      <c r="G73" s="4">
        <f t="shared" si="11"/>
        <v>0.43381535038932145</v>
      </c>
      <c r="H73" s="4" t="str">
        <f t="shared" si="12"/>
        <v>High Discount</v>
      </c>
      <c r="I73" s="4" t="str" cm="1">
        <f t="array" ref="I73">_xlfn.IFS(G73&lt;0.2,"Low Discount",G73&lt;=0.4,"Medium Discount",G73&gt;0.4,"High Discount")</f>
        <v>High Discount</v>
      </c>
      <c r="J73" s="11">
        <v>-5</v>
      </c>
      <c r="K73">
        <f t="shared" si="13"/>
        <v>5</v>
      </c>
      <c r="L73" s="11" t="s">
        <v>189</v>
      </c>
      <c r="M73" s="5">
        <f t="shared" si="14"/>
        <v>3</v>
      </c>
      <c r="N73" t="str">
        <f t="shared" si="15"/>
        <v>Average</v>
      </c>
      <c r="O73" t="str" cm="1">
        <f t="array" ref="O73">_xlfn.IFS(M73="Not Provided","Not Provided",M73&lt;3,"Poor",M73&lt;=4.4,"Average",M73&gt;=4.5,"Excellent")</f>
        <v>Average</v>
      </c>
    </row>
    <row r="74" spans="1:15" x14ac:dyDescent="0.25">
      <c r="A74" t="s">
        <v>227</v>
      </c>
      <c r="B74" s="11" t="s">
        <v>228</v>
      </c>
      <c r="C74" s="3">
        <f t="shared" si="8"/>
        <v>968</v>
      </c>
      <c r="D74" s="11" t="s">
        <v>207</v>
      </c>
      <c r="E74" s="3">
        <f t="shared" si="9"/>
        <v>1814</v>
      </c>
      <c r="F74" s="3">
        <f t="shared" si="10"/>
        <v>846</v>
      </c>
      <c r="G74" s="4">
        <f t="shared" si="11"/>
        <v>0.46637265711135611</v>
      </c>
      <c r="H74" s="4" t="str">
        <f t="shared" si="12"/>
        <v>High Discount</v>
      </c>
      <c r="I74" s="4" t="str" cm="1">
        <f t="array" ref="I74">_xlfn.IFS(G74&lt;0.2,"Low Discount",G74&lt;=0.4,"Medium Discount",G74&gt;0.4,"High Discount")</f>
        <v>High Discount</v>
      </c>
      <c r="J74" s="11">
        <v>-6</v>
      </c>
      <c r="K74">
        <f t="shared" si="13"/>
        <v>6</v>
      </c>
      <c r="L74" s="11" t="s">
        <v>208</v>
      </c>
      <c r="M74" s="5">
        <f t="shared" si="14"/>
        <v>2.2000000000000002</v>
      </c>
      <c r="N74" t="str">
        <f t="shared" si="15"/>
        <v>Poor</v>
      </c>
      <c r="O74" t="str" cm="1">
        <f t="array" ref="O74">_xlfn.IFS(M74="Not Provided","Not Provided",M74&lt;3,"Poor",M74&lt;=4.4,"Average",M74&gt;=4.5,"Excellent")</f>
        <v>Poor</v>
      </c>
    </row>
    <row r="75" spans="1:15" x14ac:dyDescent="0.25">
      <c r="A75" t="s">
        <v>229</v>
      </c>
      <c r="B75" s="11" t="s">
        <v>230</v>
      </c>
      <c r="C75" s="3">
        <f t="shared" si="8"/>
        <v>1570</v>
      </c>
      <c r="D75" s="11" t="s">
        <v>231</v>
      </c>
      <c r="E75" s="3">
        <f t="shared" si="9"/>
        <v>2988</v>
      </c>
      <c r="F75" s="3">
        <f t="shared" si="10"/>
        <v>1418</v>
      </c>
      <c r="G75" s="4">
        <f t="shared" si="11"/>
        <v>0.4745649263721553</v>
      </c>
      <c r="H75" s="4" t="str">
        <f t="shared" si="12"/>
        <v>High Discount</v>
      </c>
      <c r="I75" s="4" t="str" cm="1">
        <f t="array" ref="I75">_xlfn.IFS(G75&lt;0.2,"Low Discount",G75&lt;=0.4,"Medium Discount",G75&gt;0.4,"High Discount")</f>
        <v>High Discount</v>
      </c>
      <c r="J75" s="11">
        <v>-7</v>
      </c>
      <c r="K75">
        <f t="shared" si="13"/>
        <v>7</v>
      </c>
      <c r="L75" s="11" t="s">
        <v>193</v>
      </c>
      <c r="M75" s="5">
        <f t="shared" si="14"/>
        <v>2.1</v>
      </c>
      <c r="N75" t="str">
        <f t="shared" si="15"/>
        <v>Poor</v>
      </c>
      <c r="O75" t="str" cm="1">
        <f t="array" ref="O75">_xlfn.IFS(M75="Not Provided","Not Provided",M75&lt;3,"Poor",M75&lt;=4.4,"Average",M75&gt;=4.5,"Excellent")</f>
        <v>Poor</v>
      </c>
    </row>
    <row r="76" spans="1:15" x14ac:dyDescent="0.25">
      <c r="A76" t="s">
        <v>232</v>
      </c>
      <c r="B76" s="11" t="s">
        <v>233</v>
      </c>
      <c r="C76" s="3">
        <f t="shared" si="8"/>
        <v>790</v>
      </c>
      <c r="D76" s="11" t="s">
        <v>234</v>
      </c>
      <c r="E76" s="3">
        <f t="shared" si="9"/>
        <v>1485</v>
      </c>
      <c r="F76" s="3">
        <f t="shared" si="10"/>
        <v>695</v>
      </c>
      <c r="G76" s="4">
        <f t="shared" si="11"/>
        <v>0.46801346801346799</v>
      </c>
      <c r="H76" s="4" t="str">
        <f t="shared" si="12"/>
        <v>High Discount</v>
      </c>
      <c r="I76" s="4" t="str" cm="1">
        <f t="array" ref="I76">_xlfn.IFS(G76&lt;0.2,"Low Discount",G76&lt;=0.4,"Medium Discount",G76&gt;0.4,"High Discount")</f>
        <v>High Discount</v>
      </c>
      <c r="J76" s="11" t="s">
        <v>325</v>
      </c>
      <c r="K76" t="str">
        <f t="shared" si="13"/>
        <v>Not Provided</v>
      </c>
      <c r="L76" s="11" t="s">
        <v>325</v>
      </c>
      <c r="M76" s="5" t="str">
        <f t="shared" si="14"/>
        <v>Not Provided</v>
      </c>
      <c r="N76" t="str">
        <f t="shared" si="15"/>
        <v>Not Provided</v>
      </c>
      <c r="O76" t="str" cm="1">
        <f t="array" ref="O76">_xlfn.IFS(M76="Not Provided","Not Provided",M76&lt;3,"Poor",M76&lt;=4.4,"Average",M76&gt;=4.5,"Excellent")</f>
        <v>Not Provided</v>
      </c>
    </row>
    <row r="77" spans="1:15" x14ac:dyDescent="0.25">
      <c r="A77" t="s">
        <v>235</v>
      </c>
      <c r="B77" s="11" t="s">
        <v>236</v>
      </c>
      <c r="C77" s="3">
        <f t="shared" si="8"/>
        <v>690</v>
      </c>
      <c r="D77" s="11" t="s">
        <v>152</v>
      </c>
      <c r="E77" s="3">
        <f t="shared" si="9"/>
        <v>1200</v>
      </c>
      <c r="F77" s="3">
        <f t="shared" si="10"/>
        <v>510</v>
      </c>
      <c r="G77" s="4">
        <f t="shared" si="11"/>
        <v>0.42499999999999999</v>
      </c>
      <c r="H77" s="4" t="str">
        <f t="shared" si="12"/>
        <v>High Discount</v>
      </c>
      <c r="I77" s="4" t="str" cm="1">
        <f t="array" ref="I77">_xlfn.IFS(G77&lt;0.2,"Low Discount",G77&lt;=0.4,"Medium Discount",G77&gt;0.4,"High Discount")</f>
        <v>High Discount</v>
      </c>
      <c r="J77" s="11" t="s">
        <v>325</v>
      </c>
      <c r="K77" t="str">
        <f t="shared" si="13"/>
        <v>Not Provided</v>
      </c>
      <c r="L77" s="11" t="s">
        <v>325</v>
      </c>
      <c r="M77" s="5" t="str">
        <f t="shared" si="14"/>
        <v>Not Provided</v>
      </c>
      <c r="N77" t="str">
        <f t="shared" si="15"/>
        <v>Not Provided</v>
      </c>
      <c r="O77" t="str" cm="1">
        <f t="array" ref="O77">_xlfn.IFS(M77="Not Provided","Not Provided",M77&lt;3,"Poor",M77&lt;=4.4,"Average",M77&gt;=4.5,"Excellent")</f>
        <v>Not Provided</v>
      </c>
    </row>
    <row r="78" spans="1:15" x14ac:dyDescent="0.25">
      <c r="A78" t="s">
        <v>237</v>
      </c>
      <c r="B78" s="11" t="s">
        <v>238</v>
      </c>
      <c r="C78" s="3">
        <f t="shared" si="8"/>
        <v>1732</v>
      </c>
      <c r="D78" s="11" t="s">
        <v>239</v>
      </c>
      <c r="E78" s="3">
        <f t="shared" si="9"/>
        <v>1799</v>
      </c>
      <c r="F78" s="3">
        <f t="shared" si="10"/>
        <v>67</v>
      </c>
      <c r="G78" s="4">
        <f t="shared" si="11"/>
        <v>3.7242912729294052E-2</v>
      </c>
      <c r="H78" s="4" t="str">
        <f t="shared" si="12"/>
        <v>Low Discount</v>
      </c>
      <c r="I78" s="4" t="str" cm="1">
        <f t="array" ref="I78">_xlfn.IFS(G78&lt;0.2,"Low Discount",G78&lt;=0.4,"Medium Discount",G78&gt;0.4,"High Discount")</f>
        <v>Low Discount</v>
      </c>
      <c r="J78" s="11" t="s">
        <v>325</v>
      </c>
      <c r="K78" t="str">
        <f t="shared" si="13"/>
        <v>Not Provided</v>
      </c>
      <c r="L78" s="11" t="s">
        <v>325</v>
      </c>
      <c r="M78" s="5" t="str">
        <f t="shared" si="14"/>
        <v>Not Provided</v>
      </c>
      <c r="N78" t="str">
        <f t="shared" si="15"/>
        <v>Not Provided</v>
      </c>
      <c r="O78" t="str" cm="1">
        <f t="array" ref="O78">_xlfn.IFS(M78="Not Provided","Not Provided",M78&lt;3,"Poor",M78&lt;=4.4,"Average",M78&gt;=4.5,"Excellent")</f>
        <v>Not Provided</v>
      </c>
    </row>
    <row r="79" spans="1:15" x14ac:dyDescent="0.25">
      <c r="A79" t="s">
        <v>240</v>
      </c>
      <c r="B79" s="11" t="s">
        <v>241</v>
      </c>
      <c r="C79" s="3">
        <f t="shared" si="8"/>
        <v>230</v>
      </c>
      <c r="D79" s="11" t="s">
        <v>242</v>
      </c>
      <c r="E79" s="3">
        <f t="shared" si="9"/>
        <v>450</v>
      </c>
      <c r="F79" s="3">
        <f t="shared" si="10"/>
        <v>220</v>
      </c>
      <c r="G79" s="4">
        <f t="shared" si="11"/>
        <v>0.48888888888888887</v>
      </c>
      <c r="H79" s="4" t="str">
        <f t="shared" si="12"/>
        <v>High Discount</v>
      </c>
      <c r="I79" s="4" t="str" cm="1">
        <f t="array" ref="I79">_xlfn.IFS(G79&lt;0.2,"Low Discount",G79&lt;=0.4,"Medium Discount",G79&gt;0.4,"High Discount")</f>
        <v>High Discount</v>
      </c>
      <c r="J79" s="11" t="s">
        <v>325</v>
      </c>
      <c r="K79" t="str">
        <f t="shared" si="13"/>
        <v>Not Provided</v>
      </c>
      <c r="L79" s="11" t="s">
        <v>325</v>
      </c>
      <c r="M79" s="5" t="str">
        <f t="shared" si="14"/>
        <v>Not Provided</v>
      </c>
      <c r="N79" t="str">
        <f t="shared" si="15"/>
        <v>Not Provided</v>
      </c>
      <c r="O79" t="str" cm="1">
        <f t="array" ref="O79">_xlfn.IFS(M79="Not Provided","Not Provided",M79&lt;3,"Poor",M79&lt;=4.4,"Average",M79&gt;=4.5,"Excellent")</f>
        <v>Not Provided</v>
      </c>
    </row>
    <row r="80" spans="1:15" x14ac:dyDescent="0.25">
      <c r="A80" t="s">
        <v>243</v>
      </c>
      <c r="B80" s="11" t="s">
        <v>244</v>
      </c>
      <c r="C80" s="3">
        <f t="shared" si="8"/>
        <v>1189</v>
      </c>
      <c r="D80" s="11" t="s">
        <v>15</v>
      </c>
      <c r="E80" s="3">
        <f t="shared" si="9"/>
        <v>2199</v>
      </c>
      <c r="F80" s="3">
        <f t="shared" si="10"/>
        <v>1010</v>
      </c>
      <c r="G80" s="4">
        <f t="shared" si="11"/>
        <v>0.45929968167348795</v>
      </c>
      <c r="H80" s="4" t="str">
        <f t="shared" si="12"/>
        <v>High Discount</v>
      </c>
      <c r="I80" s="4" t="str" cm="1">
        <f t="array" ref="I80">_xlfn.IFS(G80&lt;0.2,"Low Discount",G80&lt;=0.4,"Medium Discount",G80&gt;0.4,"High Discount")</f>
        <v>High Discount</v>
      </c>
      <c r="J80" s="11">
        <v>-1</v>
      </c>
      <c r="K80">
        <f t="shared" si="13"/>
        <v>1</v>
      </c>
      <c r="L80" s="11" t="s">
        <v>189</v>
      </c>
      <c r="M80" s="5">
        <f t="shared" si="14"/>
        <v>3</v>
      </c>
      <c r="N80" t="str">
        <f t="shared" si="15"/>
        <v>Average</v>
      </c>
      <c r="O80" t="str" cm="1">
        <f t="array" ref="O80">_xlfn.IFS(M80="Not Provided","Not Provided",M80&lt;3,"Poor",M80&lt;=4.4,"Average",M80&gt;=4.5,"Excellent")</f>
        <v>Average</v>
      </c>
    </row>
    <row r="81" spans="1:15" x14ac:dyDescent="0.25">
      <c r="A81" t="s">
        <v>245</v>
      </c>
      <c r="B81" s="11" t="s">
        <v>246</v>
      </c>
      <c r="C81" s="3">
        <f t="shared" si="8"/>
        <v>979</v>
      </c>
      <c r="D81" s="11" t="s">
        <v>247</v>
      </c>
      <c r="E81" s="3">
        <f t="shared" si="9"/>
        <v>1920</v>
      </c>
      <c r="F81" s="3">
        <f t="shared" si="10"/>
        <v>941</v>
      </c>
      <c r="G81" s="4">
        <f t="shared" si="11"/>
        <v>0.49010416666666667</v>
      </c>
      <c r="H81" s="4" t="str">
        <f t="shared" si="12"/>
        <v>High Discount</v>
      </c>
      <c r="I81" s="4" t="str" cm="1">
        <f t="array" ref="I81">_xlfn.IFS(G81&lt;0.2,"Low Discount",G81&lt;=0.4,"Medium Discount",G81&gt;0.4,"High Discount")</f>
        <v>High Discount</v>
      </c>
      <c r="J81" s="11">
        <v>-1</v>
      </c>
      <c r="K81">
        <f t="shared" si="13"/>
        <v>1</v>
      </c>
      <c r="L81" s="11" t="s">
        <v>59</v>
      </c>
      <c r="M81" s="5">
        <f t="shared" si="14"/>
        <v>5</v>
      </c>
      <c r="N81" t="str">
        <f t="shared" si="15"/>
        <v>Excellent</v>
      </c>
      <c r="O81" t="str" cm="1">
        <f t="array" ref="O81">_xlfn.IFS(M81="Not Provided","Not Provided",M81&lt;3,"Poor",M81&lt;=4.4,"Average",M81&gt;=4.5,"Excellent")</f>
        <v>Excellent</v>
      </c>
    </row>
    <row r="82" spans="1:15" x14ac:dyDescent="0.25">
      <c r="A82" t="s">
        <v>248</v>
      </c>
      <c r="B82" s="11" t="s">
        <v>249</v>
      </c>
      <c r="C82" s="3">
        <f t="shared" si="8"/>
        <v>1460</v>
      </c>
      <c r="D82" s="11" t="s">
        <v>250</v>
      </c>
      <c r="E82" s="3">
        <f t="shared" si="9"/>
        <v>2290</v>
      </c>
      <c r="F82" s="3">
        <f t="shared" si="10"/>
        <v>830</v>
      </c>
      <c r="G82" s="4">
        <f t="shared" si="11"/>
        <v>0.36244541484716158</v>
      </c>
      <c r="H82" s="4" t="str">
        <f t="shared" si="12"/>
        <v>Medium Discount</v>
      </c>
      <c r="I82" s="4" t="str" cm="1">
        <f t="array" ref="I82">_xlfn.IFS(G82&lt;0.2,"Low Discount",G82&lt;=0.4,"Medium Discount",G82&gt;0.4,"High Discount")</f>
        <v>Medium Discount</v>
      </c>
      <c r="J82" s="11" t="s">
        <v>325</v>
      </c>
      <c r="K82" t="str">
        <f t="shared" si="13"/>
        <v>Not Provided</v>
      </c>
      <c r="L82" s="11" t="s">
        <v>325</v>
      </c>
      <c r="M82" s="5" t="str">
        <f t="shared" si="14"/>
        <v>Not Provided</v>
      </c>
      <c r="N82" t="str">
        <f t="shared" si="15"/>
        <v>Not Provided</v>
      </c>
      <c r="O82" t="str" cm="1">
        <f t="array" ref="O82">_xlfn.IFS(M82="Not Provided","Not Provided",M82&lt;3,"Poor",M82&lt;=4.4,"Average",M82&gt;=4.5,"Excellent")</f>
        <v>Not Provided</v>
      </c>
    </row>
    <row r="83" spans="1:15" x14ac:dyDescent="0.25">
      <c r="A83" t="s">
        <v>251</v>
      </c>
      <c r="B83" s="11" t="s">
        <v>252</v>
      </c>
      <c r="C83" s="3">
        <f t="shared" si="8"/>
        <v>1666</v>
      </c>
      <c r="D83" s="11" t="s">
        <v>162</v>
      </c>
      <c r="E83" s="3">
        <f t="shared" si="9"/>
        <v>1699</v>
      </c>
      <c r="F83" s="3">
        <f t="shared" si="10"/>
        <v>33</v>
      </c>
      <c r="G83" s="4">
        <f t="shared" si="11"/>
        <v>1.9423190111830489E-2</v>
      </c>
      <c r="H83" s="4" t="str">
        <f t="shared" si="12"/>
        <v>Low Discount</v>
      </c>
      <c r="I83" s="4" t="str" cm="1">
        <f t="array" ref="I83">_xlfn.IFS(G83&lt;0.2,"Low Discount",G83&lt;=0.4,"Medium Discount",G83&gt;0.4,"High Discount")</f>
        <v>Low Discount</v>
      </c>
      <c r="J83" s="11" t="s">
        <v>325</v>
      </c>
      <c r="K83" t="str">
        <f t="shared" si="13"/>
        <v>Not Provided</v>
      </c>
      <c r="L83" s="11" t="s">
        <v>325</v>
      </c>
      <c r="M83" s="5" t="str">
        <f t="shared" si="14"/>
        <v>Not Provided</v>
      </c>
      <c r="N83" t="str">
        <f t="shared" si="15"/>
        <v>Not Provided</v>
      </c>
      <c r="O83" t="str" cm="1">
        <f t="array" ref="O83">_xlfn.IFS(M83="Not Provided","Not Provided",M83&lt;3,"Poor",M83&lt;=4.4,"Average",M83&gt;=4.5,"Excellent")</f>
        <v>Not Provided</v>
      </c>
    </row>
    <row r="84" spans="1:15" x14ac:dyDescent="0.25">
      <c r="A84" t="s">
        <v>253</v>
      </c>
      <c r="B84" s="11" t="s">
        <v>254</v>
      </c>
      <c r="C84" s="3">
        <f t="shared" si="8"/>
        <v>330</v>
      </c>
      <c r="D84" s="11" t="s">
        <v>91</v>
      </c>
      <c r="E84" s="3">
        <f t="shared" si="9"/>
        <v>647</v>
      </c>
      <c r="F84" s="3">
        <f t="shared" si="10"/>
        <v>317</v>
      </c>
      <c r="G84" s="4">
        <f t="shared" si="11"/>
        <v>0.48995363214837712</v>
      </c>
      <c r="H84" s="4" t="str">
        <f t="shared" si="12"/>
        <v>High Discount</v>
      </c>
      <c r="I84" s="4" t="str" cm="1">
        <f t="array" ref="I84">_xlfn.IFS(G84&lt;0.2,"Low Discount",G84&lt;=0.4,"Medium Discount",G84&gt;0.4,"High Discount")</f>
        <v>High Discount</v>
      </c>
      <c r="J84" s="11">
        <v>-1</v>
      </c>
      <c r="K84">
        <f t="shared" si="13"/>
        <v>1</v>
      </c>
      <c r="L84" s="11" t="s">
        <v>29</v>
      </c>
      <c r="M84" s="5">
        <f t="shared" si="14"/>
        <v>4</v>
      </c>
      <c r="N84" t="str">
        <f t="shared" si="15"/>
        <v>Average</v>
      </c>
      <c r="O84" t="str" cm="1">
        <f t="array" ref="O84">_xlfn.IFS(M84="Not Provided","Not Provided",M84&lt;3,"Poor",M84&lt;=4.4,"Average",M84&gt;=4.5,"Excellent")</f>
        <v>Average</v>
      </c>
    </row>
    <row r="85" spans="1:15" x14ac:dyDescent="0.25">
      <c r="A85" t="s">
        <v>154</v>
      </c>
      <c r="B85" s="11" t="s">
        <v>255</v>
      </c>
      <c r="C85" s="3">
        <f t="shared" si="8"/>
        <v>176</v>
      </c>
      <c r="D85" s="11" t="s">
        <v>222</v>
      </c>
      <c r="E85" s="3">
        <f t="shared" si="9"/>
        <v>345</v>
      </c>
      <c r="F85" s="3">
        <f t="shared" si="10"/>
        <v>169</v>
      </c>
      <c r="G85" s="4">
        <f t="shared" si="11"/>
        <v>0.48985507246376814</v>
      </c>
      <c r="H85" s="4" t="str">
        <f t="shared" si="12"/>
        <v>High Discount</v>
      </c>
      <c r="I85" s="4" t="str" cm="1">
        <f t="array" ref="I85">_xlfn.IFS(G85&lt;0.2,"Low Discount",G85&lt;=0.4,"Medium Discount",G85&gt;0.4,"High Discount")</f>
        <v>High Discount</v>
      </c>
      <c r="J85" s="11" t="s">
        <v>325</v>
      </c>
      <c r="K85" t="str">
        <f t="shared" si="13"/>
        <v>Not Provided</v>
      </c>
      <c r="L85" s="11" t="s">
        <v>325</v>
      </c>
      <c r="M85" s="5" t="str">
        <f t="shared" si="14"/>
        <v>Not Provided</v>
      </c>
      <c r="N85" t="str">
        <f t="shared" si="15"/>
        <v>Not Provided</v>
      </c>
      <c r="O85" t="str" cm="1">
        <f t="array" ref="O85">_xlfn.IFS(M85="Not Provided","Not Provided",M85&lt;3,"Poor",M85&lt;=4.4,"Average",M85&gt;=4.5,"Excellent")</f>
        <v>Not Provided</v>
      </c>
    </row>
    <row r="86" spans="1:15" x14ac:dyDescent="0.25">
      <c r="A86" t="s">
        <v>256</v>
      </c>
      <c r="B86" s="11" t="s">
        <v>257</v>
      </c>
      <c r="C86" s="3">
        <f t="shared" si="8"/>
        <v>1466</v>
      </c>
      <c r="D86" s="11" t="s">
        <v>162</v>
      </c>
      <c r="E86" s="3">
        <f t="shared" si="9"/>
        <v>1699</v>
      </c>
      <c r="F86" s="3">
        <f t="shared" si="10"/>
        <v>233</v>
      </c>
      <c r="G86" s="4">
        <f t="shared" si="11"/>
        <v>0.13713949381989404</v>
      </c>
      <c r="H86" s="4" t="str">
        <f t="shared" si="12"/>
        <v>Low Discount</v>
      </c>
      <c r="I86" s="4" t="str" cm="1">
        <f t="array" ref="I86">_xlfn.IFS(G86&lt;0.2,"Low Discount",G86&lt;=0.4,"Medium Discount",G86&gt;0.4,"High Discount")</f>
        <v>Low Discount</v>
      </c>
      <c r="J86" s="11" t="s">
        <v>325</v>
      </c>
      <c r="K86" t="str">
        <f t="shared" si="13"/>
        <v>Not Provided</v>
      </c>
      <c r="L86" s="11" t="s">
        <v>325</v>
      </c>
      <c r="M86" s="5" t="str">
        <f t="shared" si="14"/>
        <v>Not Provided</v>
      </c>
      <c r="N86" t="str">
        <f t="shared" si="15"/>
        <v>Not Provided</v>
      </c>
      <c r="O86" t="str" cm="1">
        <f t="array" ref="O86">_xlfn.IFS(M86="Not Provided","Not Provided",M86&lt;3,"Poor",M86&lt;=4.4,"Average",M86&gt;=4.5,"Excellent")</f>
        <v>Not Provided</v>
      </c>
    </row>
    <row r="87" spans="1:15" x14ac:dyDescent="0.25">
      <c r="A87" t="s">
        <v>258</v>
      </c>
      <c r="B87" s="11" t="s">
        <v>259</v>
      </c>
      <c r="C87" s="3">
        <f t="shared" si="8"/>
        <v>274</v>
      </c>
      <c r="D87" s="11" t="s">
        <v>260</v>
      </c>
      <c r="E87" s="3">
        <f t="shared" si="9"/>
        <v>537</v>
      </c>
      <c r="F87" s="3">
        <f t="shared" si="10"/>
        <v>263</v>
      </c>
      <c r="G87" s="4">
        <f t="shared" si="11"/>
        <v>0.48975791433891991</v>
      </c>
      <c r="H87" s="4" t="str">
        <f t="shared" si="12"/>
        <v>High Discount</v>
      </c>
      <c r="I87" s="4" t="str" cm="1">
        <f t="array" ref="I87">_xlfn.IFS(G87&lt;0.2,"Low Discount",G87&lt;=0.4,"Medium Discount",G87&gt;0.4,"High Discount")</f>
        <v>High Discount</v>
      </c>
      <c r="J87" s="11" t="s">
        <v>325</v>
      </c>
      <c r="K87" t="str">
        <f t="shared" si="13"/>
        <v>Not Provided</v>
      </c>
      <c r="L87" s="11" t="s">
        <v>325</v>
      </c>
      <c r="M87" s="5" t="str">
        <f t="shared" si="14"/>
        <v>Not Provided</v>
      </c>
      <c r="N87" t="str">
        <f t="shared" si="15"/>
        <v>Not Provided</v>
      </c>
      <c r="O87" t="str" cm="1">
        <f t="array" ref="O87">_xlfn.IFS(M87="Not Provided","Not Provided",M87&lt;3,"Poor",M87&lt;=4.4,"Average",M87&gt;=4.5,"Excellent")</f>
        <v>Not Provided</v>
      </c>
    </row>
    <row r="88" spans="1:15" x14ac:dyDescent="0.25">
      <c r="A88" t="s">
        <v>261</v>
      </c>
      <c r="B88" s="11" t="s">
        <v>43</v>
      </c>
      <c r="C88" s="3">
        <f t="shared" si="8"/>
        <v>799</v>
      </c>
      <c r="D88" s="11" t="s">
        <v>172</v>
      </c>
      <c r="E88" s="3">
        <f t="shared" si="9"/>
        <v>900</v>
      </c>
      <c r="F88" s="3">
        <f t="shared" si="10"/>
        <v>101</v>
      </c>
      <c r="G88" s="4">
        <f t="shared" si="11"/>
        <v>0.11222222222222222</v>
      </c>
      <c r="H88" s="4" t="str">
        <f t="shared" si="12"/>
        <v>Low Discount</v>
      </c>
      <c r="I88" s="4" t="str" cm="1">
        <f t="array" ref="I88">_xlfn.IFS(G88&lt;0.2,"Low Discount",G88&lt;=0.4,"Medium Discount",G88&gt;0.4,"High Discount")</f>
        <v>Low Discount</v>
      </c>
      <c r="J88" s="11" t="s">
        <v>325</v>
      </c>
      <c r="K88" t="str">
        <f t="shared" si="13"/>
        <v>Not Provided</v>
      </c>
      <c r="L88" s="11" t="s">
        <v>325</v>
      </c>
      <c r="M88" s="5" t="str">
        <f t="shared" si="14"/>
        <v>Not Provided</v>
      </c>
      <c r="N88" t="str">
        <f t="shared" si="15"/>
        <v>Not Provided</v>
      </c>
      <c r="O88" t="str" cm="1">
        <f t="array" ref="O88">_xlfn.IFS(M88="Not Provided","Not Provided",M88&lt;3,"Poor",M88&lt;=4.4,"Average",M88&gt;=4.5,"Excellent")</f>
        <v>Not Provided</v>
      </c>
    </row>
    <row r="89" spans="1:15" x14ac:dyDescent="0.25">
      <c r="A89" t="s">
        <v>175</v>
      </c>
      <c r="B89" s="11" t="s">
        <v>262</v>
      </c>
      <c r="C89" s="3">
        <f t="shared" si="8"/>
        <v>657</v>
      </c>
      <c r="D89" s="11" t="s">
        <v>263</v>
      </c>
      <c r="E89" s="3">
        <f t="shared" si="9"/>
        <v>1288</v>
      </c>
      <c r="F89" s="3">
        <f t="shared" si="10"/>
        <v>631</v>
      </c>
      <c r="G89" s="4">
        <f t="shared" si="11"/>
        <v>0.48990683229813664</v>
      </c>
      <c r="H89" s="4" t="str">
        <f t="shared" si="12"/>
        <v>High Discount</v>
      </c>
      <c r="I89" s="4" t="str" cm="1">
        <f t="array" ref="I89">_xlfn.IFS(G89&lt;0.2,"Low Discount",G89&lt;=0.4,"Medium Discount",G89&gt;0.4,"High Discount")</f>
        <v>High Discount</v>
      </c>
      <c r="J89" s="11" t="s">
        <v>325</v>
      </c>
      <c r="K89" t="str">
        <f t="shared" si="13"/>
        <v>Not Provided</v>
      </c>
      <c r="L89" s="11" t="s">
        <v>325</v>
      </c>
      <c r="M89" s="5" t="str">
        <f t="shared" si="14"/>
        <v>Not Provided</v>
      </c>
      <c r="N89" t="str">
        <f t="shared" si="15"/>
        <v>Not Provided</v>
      </c>
      <c r="O89" t="str" cm="1">
        <f t="array" ref="O89">_xlfn.IFS(M89="Not Provided","Not Provided",M89&lt;3,"Poor",M89&lt;=4.4,"Average",M89&gt;=4.5,"Excellent")</f>
        <v>Not Provided</v>
      </c>
    </row>
    <row r="90" spans="1:15" x14ac:dyDescent="0.25">
      <c r="A90" t="s">
        <v>264</v>
      </c>
      <c r="B90" s="11" t="s">
        <v>265</v>
      </c>
      <c r="C90" s="3">
        <f t="shared" si="8"/>
        <v>1468</v>
      </c>
      <c r="D90" s="11" t="s">
        <v>162</v>
      </c>
      <c r="E90" s="3">
        <f t="shared" si="9"/>
        <v>1699</v>
      </c>
      <c r="F90" s="3">
        <f t="shared" si="10"/>
        <v>231</v>
      </c>
      <c r="G90" s="4">
        <f t="shared" si="11"/>
        <v>0.13596233078281342</v>
      </c>
      <c r="H90" s="4" t="str">
        <f t="shared" si="12"/>
        <v>Low Discount</v>
      </c>
      <c r="I90" s="4" t="str" cm="1">
        <f t="array" ref="I90">_xlfn.IFS(G90&lt;0.2,"Low Discount",G90&lt;=0.4,"Medium Discount",G90&gt;0.4,"High Discount")</f>
        <v>Low Discount</v>
      </c>
      <c r="J90" s="11" t="s">
        <v>325</v>
      </c>
      <c r="K90" t="str">
        <f t="shared" si="13"/>
        <v>Not Provided</v>
      </c>
      <c r="L90" s="11" t="s">
        <v>325</v>
      </c>
      <c r="M90" s="5" t="str">
        <f t="shared" si="14"/>
        <v>Not Provided</v>
      </c>
      <c r="N90" t="str">
        <f t="shared" si="15"/>
        <v>Not Provided</v>
      </c>
      <c r="O90" t="str" cm="1">
        <f t="array" ref="O90">_xlfn.IFS(M90="Not Provided","Not Provided",M90&lt;3,"Poor",M90&lt;=4.4,"Average",M90&gt;=4.5,"Excellent")</f>
        <v>Not Provided</v>
      </c>
    </row>
    <row r="91" spans="1:15" x14ac:dyDescent="0.25">
      <c r="A91" t="s">
        <v>266</v>
      </c>
      <c r="B91" s="11" t="s">
        <v>267</v>
      </c>
      <c r="C91" s="3">
        <f t="shared" si="8"/>
        <v>630</v>
      </c>
      <c r="D91" s="11" t="s">
        <v>268</v>
      </c>
      <c r="E91" s="3">
        <f t="shared" si="9"/>
        <v>1100</v>
      </c>
      <c r="F91" s="3">
        <f t="shared" si="10"/>
        <v>470</v>
      </c>
      <c r="G91" s="4">
        <f t="shared" si="11"/>
        <v>0.42727272727272725</v>
      </c>
      <c r="H91" s="4" t="str">
        <f t="shared" si="12"/>
        <v>High Discount</v>
      </c>
      <c r="I91" s="4" t="str" cm="1">
        <f t="array" ref="I91">_xlfn.IFS(G91&lt;0.2,"Low Discount",G91&lt;=0.4,"Medium Discount",G91&gt;0.4,"High Discount")</f>
        <v>High Discount</v>
      </c>
      <c r="J91" s="11" t="s">
        <v>325</v>
      </c>
      <c r="K91" t="str">
        <f t="shared" si="13"/>
        <v>Not Provided</v>
      </c>
      <c r="L91" s="11" t="s">
        <v>325</v>
      </c>
      <c r="M91" s="5" t="str">
        <f t="shared" si="14"/>
        <v>Not Provided</v>
      </c>
      <c r="N91" t="str">
        <f t="shared" si="15"/>
        <v>Not Provided</v>
      </c>
      <c r="O91" t="str" cm="1">
        <f t="array" ref="O91">_xlfn.IFS(M91="Not Provided","Not Provided",M91&lt;3,"Poor",M91&lt;=4.4,"Average",M91&gt;=4.5,"Excellent")</f>
        <v>Not Provided</v>
      </c>
    </row>
    <row r="92" spans="1:15" x14ac:dyDescent="0.25">
      <c r="A92" t="s">
        <v>269</v>
      </c>
      <c r="B92" s="11" t="s">
        <v>270</v>
      </c>
      <c r="C92" s="3">
        <f t="shared" si="8"/>
        <v>850</v>
      </c>
      <c r="D92" s="11" t="s">
        <v>271</v>
      </c>
      <c r="E92" s="3">
        <f t="shared" si="9"/>
        <v>1700</v>
      </c>
      <c r="F92" s="3">
        <f t="shared" si="10"/>
        <v>850</v>
      </c>
      <c r="G92" s="4">
        <f t="shared" si="11"/>
        <v>0.5</v>
      </c>
      <c r="H92" s="4" t="str">
        <f t="shared" si="12"/>
        <v>High Discount</v>
      </c>
      <c r="I92" s="4" t="str" cm="1">
        <f t="array" ref="I92">_xlfn.IFS(G92&lt;0.2,"Low Discount",G92&lt;=0.4,"Medium Discount",G92&gt;0.4,"High Discount")</f>
        <v>High Discount</v>
      </c>
      <c r="J92" s="11" t="s">
        <v>325</v>
      </c>
      <c r="K92" t="str">
        <f t="shared" si="13"/>
        <v>Not Provided</v>
      </c>
      <c r="L92" s="11" t="s">
        <v>325</v>
      </c>
      <c r="M92" s="5" t="str">
        <f t="shared" si="14"/>
        <v>Not Provided</v>
      </c>
      <c r="N92" t="str">
        <f t="shared" si="15"/>
        <v>Not Provided</v>
      </c>
      <c r="O92" t="str" cm="1">
        <f t="array" ref="O92">_xlfn.IFS(M92="Not Provided","Not Provided",M92&lt;3,"Poor",M92&lt;=4.4,"Average",M92&gt;=4.5,"Excellent")</f>
        <v>Not Provided</v>
      </c>
    </row>
    <row r="93" spans="1:15" x14ac:dyDescent="0.25">
      <c r="A93" t="s">
        <v>272</v>
      </c>
      <c r="B93" s="11" t="s">
        <v>273</v>
      </c>
      <c r="C93" s="3">
        <f t="shared" si="8"/>
        <v>1300</v>
      </c>
      <c r="D93" s="11" t="s">
        <v>184</v>
      </c>
      <c r="E93" s="3">
        <f t="shared" si="9"/>
        <v>2500</v>
      </c>
      <c r="F93" s="3">
        <f t="shared" si="10"/>
        <v>1200</v>
      </c>
      <c r="G93" s="4">
        <f t="shared" si="11"/>
        <v>0.48</v>
      </c>
      <c r="H93" s="4" t="str">
        <f t="shared" si="12"/>
        <v>High Discount</v>
      </c>
      <c r="I93" s="4" t="str" cm="1">
        <f t="array" ref="I93">_xlfn.IFS(G93&lt;0.2,"Low Discount",G93&lt;=0.4,"Medium Discount",G93&gt;0.4,"High Discount")</f>
        <v>High Discount</v>
      </c>
      <c r="J93" s="11" t="s">
        <v>325</v>
      </c>
      <c r="K93" t="str">
        <f t="shared" si="13"/>
        <v>Not Provided</v>
      </c>
      <c r="L93" s="11" t="s">
        <v>325</v>
      </c>
      <c r="M93" s="5" t="str">
        <f t="shared" si="14"/>
        <v>Not Provided</v>
      </c>
      <c r="N93" t="str">
        <f t="shared" si="15"/>
        <v>Not Provided</v>
      </c>
      <c r="O93" t="str" cm="1">
        <f t="array" ref="O93">_xlfn.IFS(M93="Not Provided","Not Provided",M93&lt;3,"Poor",M93&lt;=4.4,"Average",M93&gt;=4.5,"Excellent")</f>
        <v>Not Provided</v>
      </c>
    </row>
    <row r="94" spans="1:15" x14ac:dyDescent="0.25">
      <c r="A94" t="s">
        <v>274</v>
      </c>
      <c r="B94" s="11" t="s">
        <v>275</v>
      </c>
      <c r="C94" s="3">
        <f t="shared" si="8"/>
        <v>105</v>
      </c>
      <c r="D94" s="11" t="s">
        <v>276</v>
      </c>
      <c r="E94" s="3">
        <f t="shared" si="9"/>
        <v>200</v>
      </c>
      <c r="F94" s="3">
        <f t="shared" si="10"/>
        <v>95</v>
      </c>
      <c r="G94" s="4">
        <f t="shared" si="11"/>
        <v>0.47499999999999998</v>
      </c>
      <c r="H94" s="4" t="str">
        <f t="shared" si="12"/>
        <v>High Discount</v>
      </c>
      <c r="I94" s="4" t="str" cm="1">
        <f t="array" ref="I94">_xlfn.IFS(G94&lt;0.2,"Low Discount",G94&lt;=0.4,"Medium Discount",G94&gt;0.4,"High Discount")</f>
        <v>High Discount</v>
      </c>
      <c r="J94" s="11" t="s">
        <v>325</v>
      </c>
      <c r="K94" t="str">
        <f t="shared" si="13"/>
        <v>Not Provided</v>
      </c>
      <c r="L94" s="11" t="s">
        <v>325</v>
      </c>
      <c r="M94" s="5" t="str">
        <f t="shared" si="14"/>
        <v>Not Provided</v>
      </c>
      <c r="N94" t="str">
        <f t="shared" si="15"/>
        <v>Not Provided</v>
      </c>
      <c r="O94" t="str" cm="1">
        <f t="array" ref="O94">_xlfn.IFS(M94="Not Provided","Not Provided",M94&lt;3,"Poor",M94&lt;=4.4,"Average",M94&gt;=4.5,"Excellent")</f>
        <v>Not Provided</v>
      </c>
    </row>
    <row r="95" spans="1:15" x14ac:dyDescent="0.25">
      <c r="A95" t="s">
        <v>277</v>
      </c>
      <c r="B95" s="11" t="s">
        <v>226</v>
      </c>
      <c r="C95" s="3">
        <f t="shared" si="8"/>
        <v>899</v>
      </c>
      <c r="D95" s="11" t="s">
        <v>162</v>
      </c>
      <c r="E95" s="3">
        <f t="shared" si="9"/>
        <v>1699</v>
      </c>
      <c r="F95" s="3">
        <f t="shared" si="10"/>
        <v>800</v>
      </c>
      <c r="G95" s="4">
        <f t="shared" si="11"/>
        <v>0.47086521483225424</v>
      </c>
      <c r="H95" s="4" t="str">
        <f t="shared" si="12"/>
        <v>High Discount</v>
      </c>
      <c r="I95" s="4" t="str" cm="1">
        <f t="array" ref="I95">_xlfn.IFS(G95&lt;0.2,"Low Discount",G95&lt;=0.4,"Medium Discount",G95&gt;0.4,"High Discount")</f>
        <v>High Discount</v>
      </c>
      <c r="J95" s="11" t="s">
        <v>325</v>
      </c>
      <c r="K95" t="str">
        <f t="shared" si="13"/>
        <v>Not Provided</v>
      </c>
      <c r="L95" s="11" t="s">
        <v>325</v>
      </c>
      <c r="M95" s="5" t="str">
        <f t="shared" si="14"/>
        <v>Not Provided</v>
      </c>
      <c r="N95" t="str">
        <f t="shared" si="15"/>
        <v>Not Provided</v>
      </c>
      <c r="O95" t="str" cm="1">
        <f t="array" ref="O95">_xlfn.IFS(M95="Not Provided","Not Provided",M95&lt;3,"Poor",M95&lt;=4.4,"Average",M95&gt;=4.5,"Excellent")</f>
        <v>Not Provided</v>
      </c>
    </row>
    <row r="96" spans="1:15" x14ac:dyDescent="0.25">
      <c r="A96" t="s">
        <v>278</v>
      </c>
      <c r="B96" s="11" t="s">
        <v>152</v>
      </c>
      <c r="C96" s="3">
        <f t="shared" si="8"/>
        <v>1200</v>
      </c>
      <c r="D96" s="11" t="s">
        <v>279</v>
      </c>
      <c r="E96" s="3">
        <f t="shared" si="9"/>
        <v>2400</v>
      </c>
      <c r="F96" s="3">
        <f t="shared" si="10"/>
        <v>1200</v>
      </c>
      <c r="G96" s="4">
        <f t="shared" si="11"/>
        <v>0.5</v>
      </c>
      <c r="H96" s="4" t="str">
        <f t="shared" si="12"/>
        <v>High Discount</v>
      </c>
      <c r="I96" s="4" t="str" cm="1">
        <f t="array" ref="I96">_xlfn.IFS(G96&lt;0.2,"Low Discount",G96&lt;=0.4,"Medium Discount",G96&gt;0.4,"High Discount")</f>
        <v>High Discount</v>
      </c>
      <c r="J96" s="11" t="s">
        <v>325</v>
      </c>
      <c r="K96" t="str">
        <f t="shared" si="13"/>
        <v>Not Provided</v>
      </c>
      <c r="L96" s="11" t="s">
        <v>325</v>
      </c>
      <c r="M96" s="5" t="str">
        <f t="shared" si="14"/>
        <v>Not Provided</v>
      </c>
      <c r="N96" t="str">
        <f t="shared" si="15"/>
        <v>Not Provided</v>
      </c>
      <c r="O96" t="str" cm="1">
        <f t="array" ref="O96">_xlfn.IFS(M96="Not Provided","Not Provided",M96&lt;3,"Poor",M96&lt;=4.4,"Average",M96&gt;=4.5,"Excellent")</f>
        <v>Not Provided</v>
      </c>
    </row>
    <row r="97" spans="1:15" x14ac:dyDescent="0.25">
      <c r="A97" t="s">
        <v>280</v>
      </c>
      <c r="B97" s="11" t="s">
        <v>281</v>
      </c>
      <c r="C97" s="3">
        <f t="shared" si="8"/>
        <v>1526</v>
      </c>
      <c r="D97" s="11" t="s">
        <v>161</v>
      </c>
      <c r="E97" s="3">
        <f t="shared" si="9"/>
        <v>1660</v>
      </c>
      <c r="F97" s="3">
        <f t="shared" si="10"/>
        <v>134</v>
      </c>
      <c r="G97" s="4">
        <f t="shared" si="11"/>
        <v>8.0722891566265054E-2</v>
      </c>
      <c r="H97" s="4" t="str">
        <f t="shared" si="12"/>
        <v>Low Discount</v>
      </c>
      <c r="I97" s="4" t="str" cm="1">
        <f t="array" ref="I97">_xlfn.IFS(G97&lt;0.2,"Low Discount",G97&lt;=0.4,"Medium Discount",G97&gt;0.4,"High Discount")</f>
        <v>Low Discount</v>
      </c>
      <c r="J97" s="11" t="s">
        <v>325</v>
      </c>
      <c r="K97" t="str">
        <f t="shared" si="13"/>
        <v>Not Provided</v>
      </c>
      <c r="L97" s="11" t="s">
        <v>325</v>
      </c>
      <c r="M97" s="5" t="str">
        <f t="shared" si="14"/>
        <v>Not Provided</v>
      </c>
      <c r="N97" t="str">
        <f t="shared" si="15"/>
        <v>Not Provided</v>
      </c>
      <c r="O97" t="str" cm="1">
        <f t="array" ref="O97">_xlfn.IFS(M97="Not Provided","Not Provided",M97&lt;3,"Poor",M97&lt;=4.4,"Average",M97&gt;=4.5,"Excellent")</f>
        <v>Not Provided</v>
      </c>
    </row>
    <row r="98" spans="1:15" x14ac:dyDescent="0.25">
      <c r="A98" t="s">
        <v>282</v>
      </c>
      <c r="B98" s="11" t="s">
        <v>283</v>
      </c>
      <c r="C98" s="3">
        <f t="shared" si="8"/>
        <v>1462</v>
      </c>
      <c r="D98" s="11" t="s">
        <v>167</v>
      </c>
      <c r="E98" s="3">
        <f t="shared" si="9"/>
        <v>1499</v>
      </c>
      <c r="F98" s="3">
        <f t="shared" si="10"/>
        <v>37</v>
      </c>
      <c r="G98" s="4">
        <f t="shared" si="11"/>
        <v>2.4683122081387593E-2</v>
      </c>
      <c r="H98" s="4" t="str">
        <f t="shared" si="12"/>
        <v>Low Discount</v>
      </c>
      <c r="I98" s="4" t="str" cm="1">
        <f t="array" ref="I98">_xlfn.IFS(G98&lt;0.2,"Low Discount",G98&lt;=0.4,"Medium Discount",G98&gt;0.4,"High Discount")</f>
        <v>Low Discount</v>
      </c>
      <c r="J98" s="11" t="s">
        <v>325</v>
      </c>
      <c r="K98" t="str">
        <f t="shared" si="13"/>
        <v>Not Provided</v>
      </c>
      <c r="L98" s="11" t="s">
        <v>325</v>
      </c>
      <c r="M98" s="5" t="str">
        <f t="shared" si="14"/>
        <v>Not Provided</v>
      </c>
      <c r="N98" t="str">
        <f t="shared" si="15"/>
        <v>Not Provided</v>
      </c>
      <c r="O98" t="str" cm="1">
        <f t="array" ref="O98">_xlfn.IFS(M98="Not Provided","Not Provided",M98&lt;3,"Poor",M98&lt;=4.4,"Average",M98&gt;=4.5,"Excellent")</f>
        <v>Not Provided</v>
      </c>
    </row>
    <row r="99" spans="1:15" x14ac:dyDescent="0.25">
      <c r="A99" t="s">
        <v>284</v>
      </c>
      <c r="B99" s="11" t="s">
        <v>285</v>
      </c>
      <c r="C99" s="3">
        <f t="shared" si="8"/>
        <v>248</v>
      </c>
      <c r="D99" s="11" t="s">
        <v>286</v>
      </c>
      <c r="E99" s="3">
        <f t="shared" si="9"/>
        <v>486</v>
      </c>
      <c r="F99" s="3">
        <f t="shared" si="10"/>
        <v>238</v>
      </c>
      <c r="G99" s="4">
        <f t="shared" si="11"/>
        <v>0.48971193415637859</v>
      </c>
      <c r="H99" s="4" t="str">
        <f t="shared" si="12"/>
        <v>High Discount</v>
      </c>
      <c r="I99" s="4" t="str" cm="1">
        <f t="array" ref="I99">_xlfn.IFS(G99&lt;0.2,"Low Discount",G99&lt;=0.4,"Medium Discount",G99&gt;0.4,"High Discount")</f>
        <v>High Discount</v>
      </c>
      <c r="J99" s="11" t="s">
        <v>325</v>
      </c>
      <c r="K99" t="str">
        <f t="shared" si="13"/>
        <v>Not Provided</v>
      </c>
      <c r="L99" s="11" t="s">
        <v>325</v>
      </c>
      <c r="M99" s="5" t="str">
        <f t="shared" si="14"/>
        <v>Not Provided</v>
      </c>
      <c r="N99" t="str">
        <f t="shared" si="15"/>
        <v>Not Provided</v>
      </c>
      <c r="O99" t="str" cm="1">
        <f t="array" ref="O99">_xlfn.IFS(M99="Not Provided","Not Provided",M99&lt;3,"Poor",M99&lt;=4.4,"Average",M99&gt;=4.5,"Excellent")</f>
        <v>Not Provided</v>
      </c>
    </row>
    <row r="100" spans="1:15" x14ac:dyDescent="0.25">
      <c r="A100" t="s">
        <v>287</v>
      </c>
      <c r="B100" s="11" t="s">
        <v>288</v>
      </c>
      <c r="C100" s="3">
        <f t="shared" si="8"/>
        <v>3546</v>
      </c>
      <c r="D100" s="11" t="s">
        <v>67</v>
      </c>
      <c r="E100" s="3">
        <f t="shared" si="9"/>
        <v>3699</v>
      </c>
      <c r="F100" s="3">
        <f t="shared" si="10"/>
        <v>153</v>
      </c>
      <c r="G100" s="4">
        <f t="shared" si="11"/>
        <v>4.1362530413625302E-2</v>
      </c>
      <c r="H100" s="4" t="str">
        <f t="shared" si="12"/>
        <v>Low Discount</v>
      </c>
      <c r="I100" s="4" t="str" cm="1">
        <f t="array" ref="I100">_xlfn.IFS(G100&lt;0.2,"Low Discount",G100&lt;=0.4,"Medium Discount",G100&gt;0.4,"High Discount")</f>
        <v>Low Discount</v>
      </c>
      <c r="J100" s="11" t="s">
        <v>325</v>
      </c>
      <c r="K100" t="str">
        <f t="shared" si="13"/>
        <v>Not Provided</v>
      </c>
      <c r="L100" s="11" t="s">
        <v>325</v>
      </c>
      <c r="M100" s="5" t="str">
        <f t="shared" si="14"/>
        <v>Not Provided</v>
      </c>
      <c r="N100" t="str">
        <f t="shared" si="15"/>
        <v>Not Provided</v>
      </c>
      <c r="O100" t="str" cm="1">
        <f t="array" ref="O100">_xlfn.IFS(M100="Not Provided","Not Provided",M100&lt;3,"Poor",M100&lt;=4.4,"Average",M100&gt;=4.5,"Excellent")</f>
        <v>Not Provided</v>
      </c>
    </row>
    <row r="101" spans="1:15" x14ac:dyDescent="0.25">
      <c r="A101" t="s">
        <v>289</v>
      </c>
      <c r="B101" s="11" t="s">
        <v>290</v>
      </c>
      <c r="C101" s="3">
        <f t="shared" si="8"/>
        <v>525</v>
      </c>
      <c r="D101" s="11" t="s">
        <v>291</v>
      </c>
      <c r="E101" s="3">
        <f t="shared" si="9"/>
        <v>1029</v>
      </c>
      <c r="F101" s="3">
        <f t="shared" si="10"/>
        <v>504</v>
      </c>
      <c r="G101" s="4">
        <f t="shared" si="11"/>
        <v>0.48979591836734693</v>
      </c>
      <c r="H101" s="4" t="str">
        <f t="shared" si="12"/>
        <v>High Discount</v>
      </c>
      <c r="I101" s="4" t="str" cm="1">
        <f t="array" ref="I101">_xlfn.IFS(G101&lt;0.2,"Low Discount",G101&lt;=0.4,"Medium Discount",G101&gt;0.4,"High Discount")</f>
        <v>High Discount</v>
      </c>
      <c r="J101" s="11" t="s">
        <v>325</v>
      </c>
      <c r="K101" t="str">
        <f t="shared" si="13"/>
        <v>Not Provided</v>
      </c>
      <c r="L101" s="11" t="s">
        <v>325</v>
      </c>
      <c r="M101" s="5" t="str">
        <f t="shared" si="14"/>
        <v>Not Provided</v>
      </c>
      <c r="N101" t="str">
        <f t="shared" si="15"/>
        <v>Not Provided</v>
      </c>
      <c r="O101" t="str" cm="1">
        <f t="array" ref="O101">_xlfn.IFS(M101="Not Provided","Not Provided",M101&lt;3,"Poor",M101&lt;=4.4,"Average",M101&gt;=4.5,"Excellent")</f>
        <v>Not Provided</v>
      </c>
    </row>
    <row r="102" spans="1:15" x14ac:dyDescent="0.25">
      <c r="A102" t="s">
        <v>292</v>
      </c>
      <c r="B102" s="11" t="s">
        <v>293</v>
      </c>
      <c r="C102" s="3">
        <f t="shared" si="8"/>
        <v>1080</v>
      </c>
      <c r="D102" s="11" t="s">
        <v>294</v>
      </c>
      <c r="E102" s="3">
        <f t="shared" si="9"/>
        <v>1874</v>
      </c>
      <c r="F102" s="3">
        <f t="shared" si="10"/>
        <v>794</v>
      </c>
      <c r="G102" s="4">
        <f t="shared" si="11"/>
        <v>0.42369263607257202</v>
      </c>
      <c r="H102" s="4" t="str">
        <f t="shared" si="12"/>
        <v>High Discount</v>
      </c>
      <c r="I102" s="4" t="str" cm="1">
        <f t="array" ref="I102">_xlfn.IFS(G102&lt;0.2,"Low Discount",G102&lt;=0.4,"Medium Discount",G102&gt;0.4,"High Discount")</f>
        <v>High Discount</v>
      </c>
      <c r="J102" s="11" t="s">
        <v>325</v>
      </c>
      <c r="K102" t="str">
        <f t="shared" si="13"/>
        <v>Not Provided</v>
      </c>
      <c r="L102" s="11" t="s">
        <v>325</v>
      </c>
      <c r="M102" s="5" t="str">
        <f t="shared" si="14"/>
        <v>Not Provided</v>
      </c>
      <c r="N102" t="str">
        <f t="shared" si="15"/>
        <v>Not Provided</v>
      </c>
      <c r="O102" t="str" cm="1">
        <f t="array" ref="O102">_xlfn.IFS(M102="Not Provided","Not Provided",M102&lt;3,"Poor",M102&lt;=4.4,"Average",M102&gt;=4.5,"Excellent")</f>
        <v>Not Provided</v>
      </c>
    </row>
    <row r="103" spans="1:15" x14ac:dyDescent="0.25">
      <c r="A103" t="s">
        <v>295</v>
      </c>
      <c r="B103" s="11" t="s">
        <v>296</v>
      </c>
      <c r="C103" s="3">
        <f t="shared" si="8"/>
        <v>3640</v>
      </c>
      <c r="D103" s="11" t="s">
        <v>297</v>
      </c>
      <c r="E103" s="3">
        <f t="shared" si="9"/>
        <v>4588</v>
      </c>
      <c r="F103" s="3">
        <f t="shared" si="10"/>
        <v>948</v>
      </c>
      <c r="G103" s="4">
        <f t="shared" si="11"/>
        <v>0.20662598081952921</v>
      </c>
      <c r="H103" s="4" t="str">
        <f t="shared" si="12"/>
        <v>Medium Discount</v>
      </c>
      <c r="I103" s="4" t="str" cm="1">
        <f t="array" ref="I103">_xlfn.IFS(G103&lt;0.2,"Low Discount",G103&lt;=0.4,"Medium Discount",G103&gt;0.4,"High Discount")</f>
        <v>Medium Discount</v>
      </c>
      <c r="J103" s="11">
        <v>-1</v>
      </c>
      <c r="K103">
        <f t="shared" si="13"/>
        <v>1</v>
      </c>
      <c r="L103" s="11" t="s">
        <v>59</v>
      </c>
      <c r="M103" s="5">
        <f t="shared" si="14"/>
        <v>5</v>
      </c>
      <c r="N103" t="str">
        <f t="shared" si="15"/>
        <v>Excellent</v>
      </c>
      <c r="O103" t="str" cm="1">
        <f t="array" ref="O103">_xlfn.IFS(M103="Not Provided","Not Provided",M103&lt;3,"Poor",M103&lt;=4.4,"Average",M103&gt;=4.5,"Excellent")</f>
        <v>Excellent</v>
      </c>
    </row>
    <row r="104" spans="1:15" x14ac:dyDescent="0.25">
      <c r="A104" t="s">
        <v>298</v>
      </c>
      <c r="B104" s="11" t="s">
        <v>299</v>
      </c>
      <c r="C104" s="3">
        <f t="shared" si="8"/>
        <v>1420</v>
      </c>
      <c r="D104" s="11" t="s">
        <v>300</v>
      </c>
      <c r="E104" s="3">
        <f t="shared" si="9"/>
        <v>2420</v>
      </c>
      <c r="F104" s="3">
        <f t="shared" si="10"/>
        <v>1000</v>
      </c>
      <c r="G104" s="4">
        <f t="shared" si="11"/>
        <v>0.41322314049586778</v>
      </c>
      <c r="H104" s="4" t="str">
        <f t="shared" si="12"/>
        <v>High Discount</v>
      </c>
      <c r="I104" s="4" t="str" cm="1">
        <f t="array" ref="I104">_xlfn.IFS(G104&lt;0.2,"Low Discount",G104&lt;=0.4,"Medium Discount",G104&gt;0.4,"High Discount")</f>
        <v>High Discount</v>
      </c>
      <c r="J104" s="11" t="s">
        <v>325</v>
      </c>
      <c r="K104" t="str">
        <f t="shared" si="13"/>
        <v>Not Provided</v>
      </c>
      <c r="L104" s="11" t="s">
        <v>325</v>
      </c>
      <c r="M104" s="5" t="str">
        <f t="shared" si="14"/>
        <v>Not Provided</v>
      </c>
      <c r="N104" t="str">
        <f t="shared" si="15"/>
        <v>Not Provided</v>
      </c>
      <c r="O104" t="str" cm="1">
        <f t="array" ref="O104">_xlfn.IFS(M104="Not Provided","Not Provided",M104&lt;3,"Poor",M104&lt;=4.4,"Average",M104&gt;=4.5,"Excellent")</f>
        <v>Not Provided</v>
      </c>
    </row>
    <row r="105" spans="1:15" x14ac:dyDescent="0.25">
      <c r="A105" t="s">
        <v>301</v>
      </c>
      <c r="B105" s="11" t="s">
        <v>302</v>
      </c>
      <c r="C105" s="3">
        <f t="shared" si="8"/>
        <v>1875</v>
      </c>
      <c r="D105" s="11" t="s">
        <v>303</v>
      </c>
      <c r="E105" s="3">
        <f t="shared" si="9"/>
        <v>1899</v>
      </c>
      <c r="F105" s="3">
        <f t="shared" si="10"/>
        <v>24</v>
      </c>
      <c r="G105" s="4">
        <f t="shared" si="11"/>
        <v>1.2638230647709321E-2</v>
      </c>
      <c r="H105" s="4" t="str">
        <f t="shared" si="12"/>
        <v>Low Discount</v>
      </c>
      <c r="I105" s="4" t="str" cm="1">
        <f t="array" ref="I105">_xlfn.IFS(G105&lt;0.2,"Low Discount",G105&lt;=0.4,"Medium Discount",G105&gt;0.4,"High Discount")</f>
        <v>Low Discount</v>
      </c>
      <c r="J105" s="11" t="s">
        <v>325</v>
      </c>
      <c r="K105" t="str">
        <f t="shared" si="13"/>
        <v>Not Provided</v>
      </c>
      <c r="L105" s="11" t="s">
        <v>325</v>
      </c>
      <c r="M105" s="5" t="str">
        <f t="shared" si="14"/>
        <v>Not Provided</v>
      </c>
      <c r="N105" t="str">
        <f t="shared" si="15"/>
        <v>Not Provided</v>
      </c>
      <c r="O105" t="str" cm="1">
        <f t="array" ref="O105">_xlfn.IFS(M105="Not Provided","Not Provided",M105&lt;3,"Poor",M105&lt;=4.4,"Average",M105&gt;=4.5,"Excellent")</f>
        <v>Not Provided</v>
      </c>
    </row>
    <row r="106" spans="1:15" x14ac:dyDescent="0.25">
      <c r="A106" t="s">
        <v>304</v>
      </c>
      <c r="B106" s="11" t="s">
        <v>305</v>
      </c>
      <c r="C106" s="3">
        <f t="shared" si="8"/>
        <v>198</v>
      </c>
      <c r="D106" s="11" t="s">
        <v>306</v>
      </c>
      <c r="E106" s="3">
        <f t="shared" si="9"/>
        <v>260</v>
      </c>
      <c r="F106" s="3">
        <f t="shared" si="10"/>
        <v>62</v>
      </c>
      <c r="G106" s="4">
        <f t="shared" si="11"/>
        <v>0.23846153846153847</v>
      </c>
      <c r="H106" s="4" t="str">
        <f t="shared" si="12"/>
        <v>Medium Discount</v>
      </c>
      <c r="I106" s="4" t="str" cm="1">
        <f t="array" ref="I106">_xlfn.IFS(G106&lt;0.2,"Low Discount",G106&lt;=0.4,"Medium Discount",G106&gt;0.4,"High Discount")</f>
        <v>Medium Discount</v>
      </c>
      <c r="J106" s="11" t="s">
        <v>325</v>
      </c>
      <c r="K106" t="str">
        <f t="shared" si="13"/>
        <v>Not Provided</v>
      </c>
      <c r="L106" s="11" t="s">
        <v>325</v>
      </c>
      <c r="M106" s="5" t="str">
        <f t="shared" si="14"/>
        <v>Not Provided</v>
      </c>
      <c r="N106" t="str">
        <f t="shared" si="15"/>
        <v>Not Provided</v>
      </c>
      <c r="O106" t="str" cm="1">
        <f t="array" ref="O106">_xlfn.IFS(M106="Not Provided","Not Provided",M106&lt;3,"Poor",M106&lt;=4.4,"Average",M106&gt;=4.5,"Excellent")</f>
        <v>Not Provided</v>
      </c>
    </row>
    <row r="107" spans="1:15" x14ac:dyDescent="0.25">
      <c r="A107" t="s">
        <v>307</v>
      </c>
      <c r="B107" s="11" t="s">
        <v>308</v>
      </c>
      <c r="C107" s="3">
        <f t="shared" si="8"/>
        <v>1150</v>
      </c>
      <c r="D107" s="11" t="s">
        <v>309</v>
      </c>
      <c r="E107" s="3">
        <f t="shared" si="9"/>
        <v>1737</v>
      </c>
      <c r="F107" s="3">
        <f t="shared" si="10"/>
        <v>587</v>
      </c>
      <c r="G107" s="4">
        <f t="shared" si="11"/>
        <v>0.3379389752446747</v>
      </c>
      <c r="H107" s="4" t="str">
        <f t="shared" si="12"/>
        <v>Medium Discount</v>
      </c>
      <c r="I107" s="4" t="str" cm="1">
        <f t="array" ref="I107">_xlfn.IFS(G107&lt;0.2,"Low Discount",G107&lt;=0.4,"Medium Discount",G107&gt;0.4,"High Discount")</f>
        <v>Medium Discount</v>
      </c>
      <c r="J107" s="11" t="s">
        <v>325</v>
      </c>
      <c r="K107" t="str">
        <f t="shared" si="13"/>
        <v>Not Provided</v>
      </c>
      <c r="L107" s="11" t="s">
        <v>325</v>
      </c>
      <c r="M107" s="5" t="str">
        <f t="shared" si="14"/>
        <v>Not Provided</v>
      </c>
      <c r="N107" t="str">
        <f t="shared" si="15"/>
        <v>Not Provided</v>
      </c>
      <c r="O107" t="str" cm="1">
        <f t="array" ref="O107">_xlfn.IFS(M107="Not Provided","Not Provided",M107&lt;3,"Poor",M107&lt;=4.4,"Average",M107&gt;=4.5,"Excellent")</f>
        <v>Not Provided</v>
      </c>
    </row>
    <row r="108" spans="1:15" x14ac:dyDescent="0.25">
      <c r="A108" t="s">
        <v>310</v>
      </c>
      <c r="B108" s="11" t="s">
        <v>146</v>
      </c>
      <c r="C108" s="3">
        <f t="shared" si="8"/>
        <v>1190</v>
      </c>
      <c r="D108" s="11" t="s">
        <v>311</v>
      </c>
      <c r="E108" s="3">
        <f t="shared" si="9"/>
        <v>1810</v>
      </c>
      <c r="F108" s="3">
        <f t="shared" si="10"/>
        <v>620</v>
      </c>
      <c r="G108" s="4">
        <f t="shared" si="11"/>
        <v>0.34254143646408841</v>
      </c>
      <c r="H108" s="4" t="str">
        <f t="shared" si="12"/>
        <v>Medium Discount</v>
      </c>
      <c r="I108" s="4" t="str" cm="1">
        <f t="array" ref="I108">_xlfn.IFS(G108&lt;0.2,"Low Discount",G108&lt;=0.4,"Medium Discount",G108&gt;0.4,"High Discount")</f>
        <v>Medium Discount</v>
      </c>
      <c r="J108" s="11" t="s">
        <v>325</v>
      </c>
      <c r="K108" t="str">
        <f t="shared" si="13"/>
        <v>Not Provided</v>
      </c>
      <c r="L108" s="11" t="s">
        <v>325</v>
      </c>
      <c r="M108" s="5" t="str">
        <f t="shared" si="14"/>
        <v>Not Provided</v>
      </c>
      <c r="N108" t="str">
        <f t="shared" si="15"/>
        <v>Not Provided</v>
      </c>
      <c r="O108" t="str" cm="1">
        <f t="array" ref="O108">_xlfn.IFS(M108="Not Provided","Not Provided",M108&lt;3,"Poor",M108&lt;=4.4,"Average",M108&gt;=4.5,"Excellent")</f>
        <v>Not Provided</v>
      </c>
    </row>
    <row r="109" spans="1:15" x14ac:dyDescent="0.25">
      <c r="A109" t="s">
        <v>312</v>
      </c>
      <c r="B109" s="11" t="s">
        <v>313</v>
      </c>
      <c r="C109" s="3">
        <f t="shared" si="8"/>
        <v>1658</v>
      </c>
      <c r="D109" s="11" t="s">
        <v>162</v>
      </c>
      <c r="E109" s="3">
        <f t="shared" si="9"/>
        <v>1699</v>
      </c>
      <c r="F109" s="3">
        <f t="shared" si="10"/>
        <v>41</v>
      </c>
      <c r="G109" s="4">
        <f t="shared" si="11"/>
        <v>2.4131842260153032E-2</v>
      </c>
      <c r="H109" s="4" t="str">
        <f t="shared" si="12"/>
        <v>Low Discount</v>
      </c>
      <c r="I109" s="4" t="str" cm="1">
        <f t="array" ref="I109">_xlfn.IFS(G109&lt;0.2,"Low Discount",G109&lt;=0.4,"Medium Discount",G109&gt;0.4,"High Discount")</f>
        <v>Low Discount</v>
      </c>
      <c r="J109" s="11" t="s">
        <v>325</v>
      </c>
      <c r="K109" t="str">
        <f t="shared" si="13"/>
        <v>Not Provided</v>
      </c>
      <c r="L109" s="11" t="s">
        <v>325</v>
      </c>
      <c r="M109" s="5" t="str">
        <f t="shared" si="14"/>
        <v>Not Provided</v>
      </c>
      <c r="N109" t="str">
        <f t="shared" si="15"/>
        <v>Not Provided</v>
      </c>
      <c r="O109" t="str" cm="1">
        <f t="array" ref="O109">_xlfn.IFS(M109="Not Provided","Not Provided",M109&lt;3,"Poor",M109&lt;=4.4,"Average",M109&gt;=4.5,"Excellent")</f>
        <v>Not Provided</v>
      </c>
    </row>
    <row r="110" spans="1:15" x14ac:dyDescent="0.25">
      <c r="A110" t="s">
        <v>314</v>
      </c>
      <c r="B110" s="11" t="s">
        <v>315</v>
      </c>
      <c r="C110" s="3">
        <f t="shared" si="8"/>
        <v>1768</v>
      </c>
      <c r="D110" s="11" t="s">
        <v>239</v>
      </c>
      <c r="E110" s="3">
        <f t="shared" si="9"/>
        <v>1799</v>
      </c>
      <c r="F110" s="3">
        <f t="shared" si="10"/>
        <v>31</v>
      </c>
      <c r="G110" s="4">
        <f t="shared" si="11"/>
        <v>1.7231795441912175E-2</v>
      </c>
      <c r="H110" s="4" t="str">
        <f t="shared" si="12"/>
        <v>Low Discount</v>
      </c>
      <c r="I110" s="4" t="str" cm="1">
        <f t="array" ref="I110">_xlfn.IFS(G110&lt;0.2,"Low Discount",G110&lt;=0.4,"Medium Discount",G110&gt;0.4,"High Discount")</f>
        <v>Low Discount</v>
      </c>
      <c r="J110" s="11" t="s">
        <v>325</v>
      </c>
      <c r="K110" t="str">
        <f t="shared" si="13"/>
        <v>Not Provided</v>
      </c>
      <c r="L110" s="11" t="s">
        <v>325</v>
      </c>
      <c r="M110" s="5" t="str">
        <f t="shared" si="14"/>
        <v>Not Provided</v>
      </c>
      <c r="N110" t="str">
        <f t="shared" si="15"/>
        <v>Not Provided</v>
      </c>
      <c r="O110" t="str" cm="1">
        <f t="array" ref="O110">_xlfn.IFS(M110="Not Provided","Not Provided",M110&lt;3,"Poor",M110&lt;=4.4,"Average",M110&gt;=4.5,"Excellent")</f>
        <v>Not Provided</v>
      </c>
    </row>
    <row r="111" spans="1:15" x14ac:dyDescent="0.25">
      <c r="A111" t="s">
        <v>316</v>
      </c>
      <c r="B111" s="11" t="s">
        <v>155</v>
      </c>
      <c r="C111" s="3">
        <f t="shared" si="8"/>
        <v>199</v>
      </c>
      <c r="D111" s="11" t="s">
        <v>317</v>
      </c>
      <c r="E111" s="3">
        <f t="shared" si="9"/>
        <v>553</v>
      </c>
      <c r="F111" s="3">
        <f t="shared" si="10"/>
        <v>354</v>
      </c>
      <c r="G111" s="4">
        <f t="shared" si="11"/>
        <v>0.64014466546112114</v>
      </c>
      <c r="H111" s="4" t="str">
        <f t="shared" si="12"/>
        <v>High Discount</v>
      </c>
      <c r="I111" s="4" t="str" cm="1">
        <f t="array" ref="I111">_xlfn.IFS(G111&lt;0.2,"Low Discount",G111&lt;=0.4,"Medium Discount",G111&gt;0.4,"High Discount")</f>
        <v>High Discount</v>
      </c>
      <c r="J111" s="11" t="s">
        <v>325</v>
      </c>
      <c r="K111" t="str">
        <f t="shared" si="13"/>
        <v>Not Provided</v>
      </c>
      <c r="L111" s="11" t="s">
        <v>325</v>
      </c>
      <c r="M111" s="5" t="str">
        <f t="shared" si="14"/>
        <v>Not Provided</v>
      </c>
      <c r="N111" t="str">
        <f t="shared" si="15"/>
        <v>Not Provided</v>
      </c>
      <c r="O111" t="str" cm="1">
        <f t="array" ref="O111">_xlfn.IFS(M111="Not Provided","Not Provided",M111&lt;3,"Poor",M111&lt;=4.4,"Average",M111&gt;=4.5,"Excellent")</f>
        <v>Not Provided</v>
      </c>
    </row>
    <row r="112" spans="1:15" x14ac:dyDescent="0.25">
      <c r="A112" t="s">
        <v>318</v>
      </c>
      <c r="B112" s="11" t="s">
        <v>242</v>
      </c>
      <c r="C112" s="3">
        <f t="shared" si="8"/>
        <v>450</v>
      </c>
      <c r="D112" s="11" t="s">
        <v>172</v>
      </c>
      <c r="E112" s="3">
        <f t="shared" si="9"/>
        <v>900</v>
      </c>
      <c r="F112" s="3">
        <f t="shared" si="10"/>
        <v>450</v>
      </c>
      <c r="G112" s="4">
        <f t="shared" si="11"/>
        <v>0.5</v>
      </c>
      <c r="H112" s="4" t="str">
        <f t="shared" si="12"/>
        <v>High Discount</v>
      </c>
      <c r="I112" s="4" t="str" cm="1">
        <f t="array" ref="I112">_xlfn.IFS(G112&lt;0.2,"Low Discount",G112&lt;=0.4,"Medium Discount",G112&gt;0.4,"High Discount")</f>
        <v>High Discount</v>
      </c>
      <c r="J112" s="11">
        <v>-1</v>
      </c>
      <c r="K112">
        <f t="shared" si="13"/>
        <v>1</v>
      </c>
      <c r="L112" s="11" t="s">
        <v>319</v>
      </c>
      <c r="M112" s="5">
        <f t="shared" si="14"/>
        <v>2</v>
      </c>
      <c r="N112" t="str">
        <f t="shared" si="15"/>
        <v>Poor</v>
      </c>
      <c r="O112" t="str" cm="1">
        <f t="array" ref="O112">_xlfn.IFS(M112="Not Provided","Not Provided",M112&lt;3,"Poor",M112&lt;=4.4,"Average",M112&gt;=4.5,"Excellent")</f>
        <v>Poor</v>
      </c>
    </row>
    <row r="113" spans="1:15" x14ac:dyDescent="0.25">
      <c r="A113" t="s">
        <v>320</v>
      </c>
      <c r="B113" s="11" t="s">
        <v>321</v>
      </c>
      <c r="C113" s="3">
        <f t="shared" si="8"/>
        <v>169</v>
      </c>
      <c r="D113" s="11" t="s">
        <v>322</v>
      </c>
      <c r="E113" s="3">
        <f t="shared" si="9"/>
        <v>320</v>
      </c>
      <c r="F113" s="3">
        <f t="shared" si="10"/>
        <v>151</v>
      </c>
      <c r="G113" s="4">
        <f t="shared" si="11"/>
        <v>0.47187499999999999</v>
      </c>
      <c r="H113" s="4" t="str">
        <f t="shared" si="12"/>
        <v>High Discount</v>
      </c>
      <c r="I113" s="4" t="str" cm="1">
        <f t="array" ref="I113">_xlfn.IFS(G113&lt;0.2,"Low Discount",G113&lt;=0.4,"Medium Discount",G113&gt;0.4,"High Discount")</f>
        <v>High Discount</v>
      </c>
      <c r="J113" s="11" t="s">
        <v>325</v>
      </c>
      <c r="K113" t="str">
        <f t="shared" si="13"/>
        <v>Not Provided</v>
      </c>
      <c r="L113" s="11" t="s">
        <v>325</v>
      </c>
      <c r="M113" s="5" t="str">
        <f t="shared" si="14"/>
        <v>Not Provided</v>
      </c>
      <c r="N113" t="str">
        <f t="shared" si="15"/>
        <v>Not Provided</v>
      </c>
      <c r="O113" t="str" cm="1">
        <f t="array" ref="O113">_xlfn.IFS(M113="Not Provided","Not Provided",M113&lt;3,"Poor",M113&lt;=4.4,"Average",M113&gt;=4.5,"Excellent")</f>
        <v>Not Provided</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61D29B-96E0-4521-88A3-2F9CEAAEACED}">
  <dimension ref="A3:E113"/>
  <sheetViews>
    <sheetView workbookViewId="0">
      <selection activeCell="U21" sqref="U21"/>
    </sheetView>
  </sheetViews>
  <sheetFormatPr defaultRowHeight="15" x14ac:dyDescent="0.25"/>
  <cols>
    <col min="1" max="1" width="95" bestFit="1" customWidth="1"/>
    <col min="2" max="2" width="13.5703125" bestFit="1" customWidth="1"/>
    <col min="4" max="4" width="95" bestFit="1" customWidth="1"/>
    <col min="5" max="5" width="13.5703125" bestFit="1" customWidth="1"/>
  </cols>
  <sheetData>
    <row r="3" spans="1:5" x14ac:dyDescent="0.25">
      <c r="A3" s="15" t="s">
        <v>336</v>
      </c>
      <c r="B3" t="s">
        <v>361</v>
      </c>
      <c r="D3" s="15" t="s">
        <v>336</v>
      </c>
      <c r="E3" t="s">
        <v>361</v>
      </c>
    </row>
    <row r="4" spans="1:5" x14ac:dyDescent="0.25">
      <c r="A4" s="16" t="s">
        <v>237</v>
      </c>
      <c r="B4" s="21">
        <v>0</v>
      </c>
      <c r="D4" s="16" t="s">
        <v>56</v>
      </c>
      <c r="E4" s="21">
        <v>5</v>
      </c>
    </row>
    <row r="5" spans="1:5" x14ac:dyDescent="0.25">
      <c r="A5" s="16" t="s">
        <v>154</v>
      </c>
      <c r="B5" s="21">
        <v>0</v>
      </c>
      <c r="D5" s="16" t="s">
        <v>63</v>
      </c>
      <c r="E5" s="21">
        <v>5</v>
      </c>
    </row>
    <row r="6" spans="1:5" x14ac:dyDescent="0.25">
      <c r="A6" s="16" t="s">
        <v>157</v>
      </c>
      <c r="B6" s="21">
        <v>0</v>
      </c>
      <c r="D6" s="16" t="s">
        <v>295</v>
      </c>
      <c r="E6" s="21">
        <v>5</v>
      </c>
    </row>
    <row r="7" spans="1:5" x14ac:dyDescent="0.25">
      <c r="A7" s="16" t="s">
        <v>148</v>
      </c>
      <c r="B7" s="21">
        <v>0</v>
      </c>
      <c r="D7" s="16" t="s">
        <v>245</v>
      </c>
      <c r="E7" s="21">
        <v>5</v>
      </c>
    </row>
    <row r="8" spans="1:5" x14ac:dyDescent="0.25">
      <c r="A8" s="16" t="s">
        <v>177</v>
      </c>
      <c r="B8" s="21">
        <v>0</v>
      </c>
      <c r="D8" s="16" t="s">
        <v>60</v>
      </c>
      <c r="E8" s="21">
        <v>5</v>
      </c>
    </row>
    <row r="9" spans="1:5" x14ac:dyDescent="0.25">
      <c r="A9" s="16" t="s">
        <v>258</v>
      </c>
      <c r="B9" s="21">
        <v>0</v>
      </c>
      <c r="D9" s="16" t="s">
        <v>120</v>
      </c>
      <c r="E9" s="21">
        <v>5</v>
      </c>
    </row>
    <row r="10" spans="1:5" x14ac:dyDescent="0.25">
      <c r="A10" s="16" t="s">
        <v>280</v>
      </c>
      <c r="B10" s="21">
        <v>0</v>
      </c>
      <c r="D10" s="16" t="s">
        <v>117</v>
      </c>
      <c r="E10" s="21">
        <v>5</v>
      </c>
    </row>
    <row r="11" spans="1:5" x14ac:dyDescent="0.25">
      <c r="A11" s="16" t="s">
        <v>310</v>
      </c>
      <c r="B11" s="21">
        <v>0</v>
      </c>
      <c r="D11" s="16" t="s">
        <v>337</v>
      </c>
      <c r="E11" s="21">
        <v>35</v>
      </c>
    </row>
    <row r="12" spans="1:5" x14ac:dyDescent="0.25">
      <c r="A12" s="16" t="s">
        <v>301</v>
      </c>
      <c r="B12" s="21">
        <v>0</v>
      </c>
    </row>
    <row r="13" spans="1:5" x14ac:dyDescent="0.25">
      <c r="A13" s="16" t="s">
        <v>143</v>
      </c>
      <c r="B13" s="21">
        <v>0</v>
      </c>
      <c r="D13" s="15" t="s">
        <v>336</v>
      </c>
      <c r="E13" t="s">
        <v>361</v>
      </c>
    </row>
    <row r="14" spans="1:5" x14ac:dyDescent="0.25">
      <c r="A14" s="16" t="s">
        <v>151</v>
      </c>
      <c r="B14" s="21">
        <v>0</v>
      </c>
      <c r="D14" s="16" t="s">
        <v>310</v>
      </c>
      <c r="E14" s="21">
        <v>0</v>
      </c>
    </row>
    <row r="15" spans="1:5" x14ac:dyDescent="0.25">
      <c r="A15" s="16" t="s">
        <v>173</v>
      </c>
      <c r="B15" s="21">
        <v>0</v>
      </c>
      <c r="D15" s="16" t="s">
        <v>143</v>
      </c>
      <c r="E15" s="21">
        <v>0</v>
      </c>
    </row>
    <row r="16" spans="1:5" x14ac:dyDescent="0.25">
      <c r="A16" s="16" t="s">
        <v>235</v>
      </c>
      <c r="B16" s="21">
        <v>0</v>
      </c>
      <c r="D16" s="16" t="s">
        <v>304</v>
      </c>
      <c r="E16" s="21">
        <v>0</v>
      </c>
    </row>
    <row r="17" spans="1:5" x14ac:dyDescent="0.25">
      <c r="A17" s="16" t="s">
        <v>168</v>
      </c>
      <c r="B17" s="21">
        <v>0</v>
      </c>
      <c r="D17" s="16" t="s">
        <v>173</v>
      </c>
      <c r="E17" s="21">
        <v>0</v>
      </c>
    </row>
    <row r="18" spans="1:5" x14ac:dyDescent="0.25">
      <c r="A18" s="16" t="s">
        <v>131</v>
      </c>
      <c r="B18" s="21">
        <v>0</v>
      </c>
      <c r="D18" s="16" t="s">
        <v>301</v>
      </c>
      <c r="E18" s="21">
        <v>0</v>
      </c>
    </row>
    <row r="19" spans="1:5" x14ac:dyDescent="0.25">
      <c r="A19" s="16" t="s">
        <v>128</v>
      </c>
      <c r="B19" s="21">
        <v>0</v>
      </c>
      <c r="D19" s="16" t="s">
        <v>154</v>
      </c>
      <c r="E19" s="21">
        <v>0</v>
      </c>
    </row>
    <row r="20" spans="1:5" x14ac:dyDescent="0.25">
      <c r="A20" s="16" t="s">
        <v>248</v>
      </c>
      <c r="B20" s="21">
        <v>0</v>
      </c>
      <c r="D20" s="16" t="s">
        <v>151</v>
      </c>
      <c r="E20" s="21">
        <v>0</v>
      </c>
    </row>
    <row r="21" spans="1:5" x14ac:dyDescent="0.25">
      <c r="A21" s="16" t="s">
        <v>307</v>
      </c>
      <c r="B21" s="21">
        <v>0</v>
      </c>
      <c r="D21" s="16" t="s">
        <v>237</v>
      </c>
      <c r="E21" s="21">
        <v>0</v>
      </c>
    </row>
    <row r="22" spans="1:5" x14ac:dyDescent="0.25">
      <c r="A22" s="16" t="s">
        <v>277</v>
      </c>
      <c r="B22" s="21">
        <v>0</v>
      </c>
      <c r="D22" s="16" t="s">
        <v>235</v>
      </c>
      <c r="E22" s="21">
        <v>0</v>
      </c>
    </row>
    <row r="23" spans="1:5" x14ac:dyDescent="0.25">
      <c r="A23" s="16" t="s">
        <v>287</v>
      </c>
      <c r="B23" s="21">
        <v>0</v>
      </c>
      <c r="D23" s="16" t="s">
        <v>168</v>
      </c>
      <c r="E23" s="21">
        <v>0</v>
      </c>
    </row>
    <row r="24" spans="1:5" x14ac:dyDescent="0.25">
      <c r="A24" s="16" t="s">
        <v>240</v>
      </c>
      <c r="B24" s="21">
        <v>0</v>
      </c>
      <c r="D24" s="16" t="s">
        <v>131</v>
      </c>
      <c r="E24" s="21">
        <v>0</v>
      </c>
    </row>
    <row r="25" spans="1:5" x14ac:dyDescent="0.25">
      <c r="A25" s="16" t="s">
        <v>134</v>
      </c>
      <c r="B25" s="21">
        <v>0</v>
      </c>
      <c r="D25" s="16" t="s">
        <v>128</v>
      </c>
      <c r="E25" s="21">
        <v>0</v>
      </c>
    </row>
    <row r="26" spans="1:5" x14ac:dyDescent="0.25">
      <c r="A26" s="16" t="s">
        <v>298</v>
      </c>
      <c r="B26" s="21">
        <v>0</v>
      </c>
      <c r="D26" s="16" t="s">
        <v>248</v>
      </c>
      <c r="E26" s="21">
        <v>0</v>
      </c>
    </row>
    <row r="27" spans="1:5" x14ac:dyDescent="0.25">
      <c r="A27" s="16" t="s">
        <v>266</v>
      </c>
      <c r="B27" s="21">
        <v>0</v>
      </c>
      <c r="D27" s="16" t="s">
        <v>307</v>
      </c>
      <c r="E27" s="21">
        <v>0</v>
      </c>
    </row>
    <row r="28" spans="1:5" x14ac:dyDescent="0.25">
      <c r="A28" s="16" t="s">
        <v>289</v>
      </c>
      <c r="B28" s="21">
        <v>0</v>
      </c>
      <c r="D28" s="16" t="s">
        <v>277</v>
      </c>
      <c r="E28" s="21">
        <v>0</v>
      </c>
    </row>
    <row r="29" spans="1:5" x14ac:dyDescent="0.25">
      <c r="A29" s="16" t="s">
        <v>99</v>
      </c>
      <c r="B29" s="21">
        <v>0</v>
      </c>
      <c r="D29" s="16" t="s">
        <v>287</v>
      </c>
      <c r="E29" s="21">
        <v>0</v>
      </c>
    </row>
    <row r="30" spans="1:5" x14ac:dyDescent="0.25">
      <c r="A30" s="16" t="s">
        <v>320</v>
      </c>
      <c r="B30" s="21">
        <v>0</v>
      </c>
      <c r="D30" s="16" t="s">
        <v>240</v>
      </c>
      <c r="E30" s="21">
        <v>0</v>
      </c>
    </row>
    <row r="31" spans="1:5" x14ac:dyDescent="0.25">
      <c r="A31" s="16" t="s">
        <v>165</v>
      </c>
      <c r="B31" s="21">
        <v>0</v>
      </c>
      <c r="D31" s="16" t="s">
        <v>134</v>
      </c>
      <c r="E31" s="21">
        <v>0</v>
      </c>
    </row>
    <row r="32" spans="1:5" x14ac:dyDescent="0.25">
      <c r="A32" s="16" t="s">
        <v>304</v>
      </c>
      <c r="B32" s="21">
        <v>0</v>
      </c>
      <c r="D32" s="16" t="s">
        <v>298</v>
      </c>
      <c r="E32" s="21">
        <v>0</v>
      </c>
    </row>
    <row r="33" spans="1:5" x14ac:dyDescent="0.25">
      <c r="A33" s="16" t="s">
        <v>256</v>
      </c>
      <c r="B33" s="21">
        <v>0</v>
      </c>
      <c r="D33" s="16" t="s">
        <v>266</v>
      </c>
      <c r="E33" s="21">
        <v>0</v>
      </c>
    </row>
    <row r="34" spans="1:5" x14ac:dyDescent="0.25">
      <c r="A34" s="16" t="s">
        <v>278</v>
      </c>
      <c r="B34" s="21">
        <v>0</v>
      </c>
      <c r="D34" s="16" t="s">
        <v>289</v>
      </c>
      <c r="E34" s="21">
        <v>0</v>
      </c>
    </row>
    <row r="35" spans="1:5" x14ac:dyDescent="0.25">
      <c r="A35" s="16" t="s">
        <v>261</v>
      </c>
      <c r="B35" s="21">
        <v>0</v>
      </c>
      <c r="D35" s="16" t="s">
        <v>99</v>
      </c>
      <c r="E35" s="21">
        <v>0</v>
      </c>
    </row>
    <row r="36" spans="1:5" x14ac:dyDescent="0.25">
      <c r="A36" s="16" t="s">
        <v>284</v>
      </c>
      <c r="B36" s="21">
        <v>0</v>
      </c>
      <c r="D36" s="16" t="s">
        <v>320</v>
      </c>
      <c r="E36" s="21">
        <v>0</v>
      </c>
    </row>
    <row r="37" spans="1:5" x14ac:dyDescent="0.25">
      <c r="A37" s="16" t="s">
        <v>160</v>
      </c>
      <c r="B37" s="21">
        <v>0</v>
      </c>
      <c r="D37" s="16" t="s">
        <v>165</v>
      </c>
      <c r="E37" s="21">
        <v>0</v>
      </c>
    </row>
    <row r="38" spans="1:5" x14ac:dyDescent="0.25">
      <c r="A38" s="16" t="s">
        <v>316</v>
      </c>
      <c r="B38" s="21">
        <v>0</v>
      </c>
      <c r="D38" s="16" t="s">
        <v>148</v>
      </c>
      <c r="E38" s="21">
        <v>0</v>
      </c>
    </row>
    <row r="39" spans="1:5" x14ac:dyDescent="0.25">
      <c r="A39" s="16" t="s">
        <v>163</v>
      </c>
      <c r="B39" s="21">
        <v>0</v>
      </c>
      <c r="D39" s="16" t="s">
        <v>256</v>
      </c>
      <c r="E39" s="21">
        <v>0</v>
      </c>
    </row>
    <row r="40" spans="1:5" x14ac:dyDescent="0.25">
      <c r="A40" s="16" t="s">
        <v>292</v>
      </c>
      <c r="B40" s="21">
        <v>0</v>
      </c>
      <c r="D40" s="16" t="s">
        <v>177</v>
      </c>
      <c r="E40" s="21">
        <v>0</v>
      </c>
    </row>
    <row r="41" spans="1:5" x14ac:dyDescent="0.25">
      <c r="A41" s="16" t="s">
        <v>282</v>
      </c>
      <c r="B41" s="21">
        <v>0</v>
      </c>
      <c r="D41" s="16" t="s">
        <v>261</v>
      </c>
      <c r="E41" s="21">
        <v>0</v>
      </c>
    </row>
    <row r="42" spans="1:5" x14ac:dyDescent="0.25">
      <c r="A42" s="16" t="s">
        <v>137</v>
      </c>
      <c r="B42" s="21">
        <v>0</v>
      </c>
      <c r="D42" s="16" t="s">
        <v>278</v>
      </c>
      <c r="E42" s="21">
        <v>0</v>
      </c>
    </row>
    <row r="43" spans="1:5" x14ac:dyDescent="0.25">
      <c r="A43" s="16" t="s">
        <v>272</v>
      </c>
      <c r="B43" s="21">
        <v>0</v>
      </c>
      <c r="D43" s="16" t="s">
        <v>160</v>
      </c>
      <c r="E43" s="21">
        <v>0</v>
      </c>
    </row>
    <row r="44" spans="1:5" x14ac:dyDescent="0.25">
      <c r="A44" s="16" t="s">
        <v>251</v>
      </c>
      <c r="B44" s="21">
        <v>0</v>
      </c>
      <c r="D44" s="16" t="s">
        <v>284</v>
      </c>
      <c r="E44" s="21">
        <v>0</v>
      </c>
    </row>
    <row r="45" spans="1:5" x14ac:dyDescent="0.25">
      <c r="A45" s="16" t="s">
        <v>274</v>
      </c>
      <c r="B45" s="21">
        <v>0</v>
      </c>
      <c r="D45" s="16" t="s">
        <v>163</v>
      </c>
      <c r="E45" s="21">
        <v>0</v>
      </c>
    </row>
    <row r="46" spans="1:5" x14ac:dyDescent="0.25">
      <c r="A46" s="16" t="s">
        <v>75</v>
      </c>
      <c r="B46" s="21">
        <v>0</v>
      </c>
      <c r="D46" s="16" t="s">
        <v>316</v>
      </c>
      <c r="E46" s="21">
        <v>0</v>
      </c>
    </row>
    <row r="47" spans="1:5" x14ac:dyDescent="0.25">
      <c r="A47" s="16" t="s">
        <v>140</v>
      </c>
      <c r="B47" s="21">
        <v>0</v>
      </c>
      <c r="D47" s="16" t="s">
        <v>282</v>
      </c>
      <c r="E47" s="21">
        <v>0</v>
      </c>
    </row>
    <row r="48" spans="1:5" x14ac:dyDescent="0.25">
      <c r="A48" s="16" t="s">
        <v>175</v>
      </c>
      <c r="B48" s="21">
        <v>0</v>
      </c>
      <c r="D48" s="16" t="s">
        <v>292</v>
      </c>
      <c r="E48" s="21">
        <v>0</v>
      </c>
    </row>
    <row r="49" spans="1:5" x14ac:dyDescent="0.25">
      <c r="A49" s="16" t="s">
        <v>312</v>
      </c>
      <c r="B49" s="21">
        <v>0</v>
      </c>
      <c r="D49" s="16" t="s">
        <v>272</v>
      </c>
      <c r="E49" s="21">
        <v>0</v>
      </c>
    </row>
    <row r="50" spans="1:5" x14ac:dyDescent="0.25">
      <c r="A50" s="16" t="s">
        <v>232</v>
      </c>
      <c r="B50" s="21">
        <v>0</v>
      </c>
      <c r="D50" s="16" t="s">
        <v>137</v>
      </c>
      <c r="E50" s="21">
        <v>0</v>
      </c>
    </row>
    <row r="51" spans="1:5" x14ac:dyDescent="0.25">
      <c r="A51" s="16" t="s">
        <v>170</v>
      </c>
      <c r="B51" s="21">
        <v>0</v>
      </c>
      <c r="D51" s="16" t="s">
        <v>274</v>
      </c>
      <c r="E51" s="21">
        <v>0</v>
      </c>
    </row>
    <row r="52" spans="1:5" x14ac:dyDescent="0.25">
      <c r="A52" s="16" t="s">
        <v>264</v>
      </c>
      <c r="B52" s="21">
        <v>0</v>
      </c>
      <c r="D52" s="16" t="s">
        <v>258</v>
      </c>
      <c r="E52" s="21">
        <v>0</v>
      </c>
    </row>
    <row r="53" spans="1:5" x14ac:dyDescent="0.25">
      <c r="A53" s="16" t="s">
        <v>314</v>
      </c>
      <c r="B53" s="21">
        <v>0</v>
      </c>
      <c r="D53" s="16" t="s">
        <v>140</v>
      </c>
      <c r="E53" s="21">
        <v>0</v>
      </c>
    </row>
    <row r="54" spans="1:5" x14ac:dyDescent="0.25">
      <c r="A54" s="16" t="s">
        <v>145</v>
      </c>
      <c r="B54" s="21">
        <v>0</v>
      </c>
      <c r="D54" s="16" t="s">
        <v>232</v>
      </c>
      <c r="E54" s="21">
        <v>0</v>
      </c>
    </row>
    <row r="55" spans="1:5" x14ac:dyDescent="0.25">
      <c r="A55" s="16" t="s">
        <v>269</v>
      </c>
      <c r="B55" s="21">
        <v>0</v>
      </c>
      <c r="D55" s="16" t="s">
        <v>312</v>
      </c>
      <c r="E55" s="21">
        <v>0</v>
      </c>
    </row>
    <row r="56" spans="1:5" x14ac:dyDescent="0.25">
      <c r="A56" s="16" t="s">
        <v>318</v>
      </c>
      <c r="B56" s="21">
        <v>2</v>
      </c>
      <c r="D56" s="16" t="s">
        <v>145</v>
      </c>
      <c r="E56" s="21">
        <v>0</v>
      </c>
    </row>
    <row r="57" spans="1:5" x14ac:dyDescent="0.25">
      <c r="A57" s="16" t="s">
        <v>229</v>
      </c>
      <c r="B57" s="21">
        <v>2.1</v>
      </c>
      <c r="D57" s="16" t="s">
        <v>170</v>
      </c>
      <c r="E57" s="21">
        <v>0</v>
      </c>
    </row>
    <row r="58" spans="1:5" x14ac:dyDescent="0.25">
      <c r="A58" s="16" t="s">
        <v>190</v>
      </c>
      <c r="B58" s="21">
        <v>2.1</v>
      </c>
      <c r="D58" s="16" t="s">
        <v>157</v>
      </c>
      <c r="E58" s="21">
        <v>0</v>
      </c>
    </row>
    <row r="59" spans="1:5" x14ac:dyDescent="0.25">
      <c r="A59" s="16" t="s">
        <v>206</v>
      </c>
      <c r="B59" s="21">
        <v>2.2000000000000002</v>
      </c>
      <c r="D59" s="16" t="s">
        <v>314</v>
      </c>
      <c r="E59" s="21">
        <v>0</v>
      </c>
    </row>
    <row r="60" spans="1:5" x14ac:dyDescent="0.25">
      <c r="A60" s="16" t="s">
        <v>227</v>
      </c>
      <c r="B60" s="21">
        <v>2.2000000000000002</v>
      </c>
      <c r="D60" s="16" t="s">
        <v>75</v>
      </c>
      <c r="E60" s="21">
        <v>0</v>
      </c>
    </row>
    <row r="61" spans="1:5" x14ac:dyDescent="0.25">
      <c r="A61" s="16" t="s">
        <v>221</v>
      </c>
      <c r="B61" s="21">
        <v>2.2999999999999998</v>
      </c>
      <c r="D61" s="16" t="s">
        <v>269</v>
      </c>
      <c r="E61" s="21">
        <v>0</v>
      </c>
    </row>
    <row r="62" spans="1:5" x14ac:dyDescent="0.25">
      <c r="A62" s="16" t="s">
        <v>209</v>
      </c>
      <c r="B62" s="21">
        <v>2.2999999999999998</v>
      </c>
      <c r="D62" s="16" t="s">
        <v>251</v>
      </c>
      <c r="E62" s="21">
        <v>0</v>
      </c>
    </row>
    <row r="63" spans="1:5" x14ac:dyDescent="0.25">
      <c r="A63" s="16" t="s">
        <v>182</v>
      </c>
      <c r="B63" s="21">
        <v>2.5</v>
      </c>
      <c r="D63" s="16" t="s">
        <v>280</v>
      </c>
      <c r="E63" s="21">
        <v>0</v>
      </c>
    </row>
    <row r="64" spans="1:5" x14ac:dyDescent="0.25">
      <c r="A64" s="16" t="s">
        <v>215</v>
      </c>
      <c r="B64" s="21">
        <v>2.6</v>
      </c>
      <c r="D64" s="16" t="s">
        <v>175</v>
      </c>
      <c r="E64" s="21">
        <v>0</v>
      </c>
    </row>
    <row r="65" spans="1:5" x14ac:dyDescent="0.25">
      <c r="A65" s="16" t="s">
        <v>198</v>
      </c>
      <c r="B65" s="21">
        <v>2.7</v>
      </c>
      <c r="D65" s="16" t="s">
        <v>264</v>
      </c>
      <c r="E65" s="21">
        <v>0</v>
      </c>
    </row>
    <row r="66" spans="1:5" x14ac:dyDescent="0.25">
      <c r="A66" s="16" t="s">
        <v>194</v>
      </c>
      <c r="B66" s="21">
        <v>2.8</v>
      </c>
      <c r="D66" s="16" t="s">
        <v>337</v>
      </c>
      <c r="E66" s="21">
        <v>0</v>
      </c>
    </row>
    <row r="67" spans="1:5" x14ac:dyDescent="0.25">
      <c r="A67" s="16" t="s">
        <v>202</v>
      </c>
      <c r="B67" s="21">
        <v>2.9</v>
      </c>
    </row>
    <row r="68" spans="1:5" x14ac:dyDescent="0.25">
      <c r="A68" s="16" t="s">
        <v>224</v>
      </c>
      <c r="B68" s="21">
        <v>3</v>
      </c>
    </row>
    <row r="69" spans="1:5" x14ac:dyDescent="0.25">
      <c r="A69" s="16" t="s">
        <v>186</v>
      </c>
      <c r="B69" s="21">
        <v>3</v>
      </c>
    </row>
    <row r="70" spans="1:5" x14ac:dyDescent="0.25">
      <c r="A70" s="16" t="s">
        <v>243</v>
      </c>
      <c r="B70" s="21">
        <v>3</v>
      </c>
    </row>
    <row r="71" spans="1:5" x14ac:dyDescent="0.25">
      <c r="A71" s="16" t="s">
        <v>212</v>
      </c>
      <c r="B71" s="21">
        <v>3</v>
      </c>
    </row>
    <row r="72" spans="1:5" x14ac:dyDescent="0.25">
      <c r="A72" s="16" t="s">
        <v>218</v>
      </c>
      <c r="B72" s="21">
        <v>3</v>
      </c>
    </row>
    <row r="73" spans="1:5" x14ac:dyDescent="0.25">
      <c r="A73" s="16" t="s">
        <v>71</v>
      </c>
      <c r="B73" s="21">
        <v>3.3</v>
      </c>
    </row>
    <row r="74" spans="1:5" x14ac:dyDescent="0.25">
      <c r="A74" s="16" t="s">
        <v>92</v>
      </c>
      <c r="B74" s="21">
        <v>3.8</v>
      </c>
    </row>
    <row r="75" spans="1:5" x14ac:dyDescent="0.25">
      <c r="A75" s="16" t="s">
        <v>38</v>
      </c>
      <c r="B75" s="21">
        <v>3.8</v>
      </c>
    </row>
    <row r="76" spans="1:5" x14ac:dyDescent="0.25">
      <c r="A76" s="16" t="s">
        <v>95</v>
      </c>
      <c r="B76" s="21">
        <v>3.8</v>
      </c>
    </row>
    <row r="77" spans="1:5" x14ac:dyDescent="0.25">
      <c r="A77" s="16" t="s">
        <v>26</v>
      </c>
      <c r="B77" s="21">
        <v>4</v>
      </c>
    </row>
    <row r="78" spans="1:5" x14ac:dyDescent="0.25">
      <c r="A78" s="16" t="s">
        <v>78</v>
      </c>
      <c r="B78" s="21">
        <v>4</v>
      </c>
    </row>
    <row r="79" spans="1:5" x14ac:dyDescent="0.25">
      <c r="A79" s="16" t="s">
        <v>253</v>
      </c>
      <c r="B79" s="21">
        <v>4</v>
      </c>
    </row>
    <row r="80" spans="1:5" x14ac:dyDescent="0.25">
      <c r="A80" s="16" t="s">
        <v>33</v>
      </c>
      <c r="B80" s="21">
        <v>4</v>
      </c>
    </row>
    <row r="81" spans="1:2" x14ac:dyDescent="0.25">
      <c r="A81" s="16" t="s">
        <v>97</v>
      </c>
      <c r="B81" s="21">
        <v>4.0999999999999996</v>
      </c>
    </row>
    <row r="82" spans="1:2" x14ac:dyDescent="0.25">
      <c r="A82" s="16" t="s">
        <v>10</v>
      </c>
      <c r="B82" s="21">
        <v>4.0999999999999996</v>
      </c>
    </row>
    <row r="83" spans="1:2" x14ac:dyDescent="0.25">
      <c r="A83" s="16" t="s">
        <v>42</v>
      </c>
      <c r="B83" s="21">
        <v>4.0999999999999996</v>
      </c>
    </row>
    <row r="84" spans="1:2" x14ac:dyDescent="0.25">
      <c r="A84" s="16" t="s">
        <v>53</v>
      </c>
      <c r="B84" s="21">
        <v>4.2</v>
      </c>
    </row>
    <row r="85" spans="1:2" x14ac:dyDescent="0.25">
      <c r="A85" s="16" t="s">
        <v>122</v>
      </c>
      <c r="B85" s="21">
        <v>4.3</v>
      </c>
    </row>
    <row r="86" spans="1:2" x14ac:dyDescent="0.25">
      <c r="A86" s="16" t="s">
        <v>85</v>
      </c>
      <c r="B86" s="21">
        <v>4.3</v>
      </c>
    </row>
    <row r="87" spans="1:2" x14ac:dyDescent="0.25">
      <c r="A87" s="16" t="s">
        <v>108</v>
      </c>
      <c r="B87" s="21">
        <v>4.3</v>
      </c>
    </row>
    <row r="88" spans="1:2" x14ac:dyDescent="0.25">
      <c r="A88" s="16" t="s">
        <v>102</v>
      </c>
      <c r="B88" s="21">
        <v>4.3</v>
      </c>
    </row>
    <row r="89" spans="1:2" x14ac:dyDescent="0.25">
      <c r="A89" s="16" t="s">
        <v>81</v>
      </c>
      <c r="B89" s="21">
        <v>4.4000000000000004</v>
      </c>
    </row>
    <row r="90" spans="1:2" x14ac:dyDescent="0.25">
      <c r="A90" s="16" t="s">
        <v>125</v>
      </c>
      <c r="B90" s="21">
        <v>4.5</v>
      </c>
    </row>
    <row r="91" spans="1:2" x14ac:dyDescent="0.25">
      <c r="A91" s="16" t="s">
        <v>50</v>
      </c>
      <c r="B91" s="21">
        <v>4.5</v>
      </c>
    </row>
    <row r="92" spans="1:2" x14ac:dyDescent="0.25">
      <c r="A92" s="16" t="s">
        <v>114</v>
      </c>
      <c r="B92" s="21">
        <v>4.5</v>
      </c>
    </row>
    <row r="93" spans="1:2" x14ac:dyDescent="0.25">
      <c r="A93" s="16" t="s">
        <v>6</v>
      </c>
      <c r="B93" s="21">
        <v>4.5</v>
      </c>
    </row>
    <row r="94" spans="1:2" x14ac:dyDescent="0.25">
      <c r="A94" s="16" t="s">
        <v>68</v>
      </c>
      <c r="B94" s="21">
        <v>4.5999999999999996</v>
      </c>
    </row>
    <row r="95" spans="1:2" x14ac:dyDescent="0.25">
      <c r="A95" s="16" t="s">
        <v>66</v>
      </c>
      <c r="B95" s="21">
        <v>4.5999999999999996</v>
      </c>
    </row>
    <row r="96" spans="1:2" x14ac:dyDescent="0.25">
      <c r="A96" s="16" t="s">
        <v>89</v>
      </c>
      <c r="B96" s="21">
        <v>4.5999999999999996</v>
      </c>
    </row>
    <row r="97" spans="1:2" x14ac:dyDescent="0.25">
      <c r="A97" s="16" t="s">
        <v>30</v>
      </c>
      <c r="B97" s="21">
        <v>4.5999999999999996</v>
      </c>
    </row>
    <row r="98" spans="1:2" x14ac:dyDescent="0.25">
      <c r="A98" s="16" t="s">
        <v>14</v>
      </c>
      <c r="B98" s="21">
        <v>4.5999999999999996</v>
      </c>
    </row>
    <row r="99" spans="1:2" x14ac:dyDescent="0.25">
      <c r="A99" s="16" t="s">
        <v>105</v>
      </c>
      <c r="B99" s="21">
        <v>4.7</v>
      </c>
    </row>
    <row r="100" spans="1:2" x14ac:dyDescent="0.25">
      <c r="A100" s="16" t="s">
        <v>18</v>
      </c>
      <c r="B100" s="21">
        <v>4.7</v>
      </c>
    </row>
    <row r="101" spans="1:2" x14ac:dyDescent="0.25">
      <c r="A101" s="16" t="s">
        <v>111</v>
      </c>
      <c r="B101" s="21">
        <v>4.7</v>
      </c>
    </row>
    <row r="102" spans="1:2" x14ac:dyDescent="0.25">
      <c r="A102" s="16" t="s">
        <v>44</v>
      </c>
      <c r="B102" s="21">
        <v>4.7</v>
      </c>
    </row>
    <row r="103" spans="1:2" x14ac:dyDescent="0.25">
      <c r="A103" s="16" t="s">
        <v>35</v>
      </c>
      <c r="B103" s="21">
        <v>4.8</v>
      </c>
    </row>
    <row r="104" spans="1:2" x14ac:dyDescent="0.25">
      <c r="A104" s="16" t="s">
        <v>22</v>
      </c>
      <c r="B104" s="21">
        <v>4.8</v>
      </c>
    </row>
    <row r="105" spans="1:2" x14ac:dyDescent="0.25">
      <c r="A105" s="16" t="s">
        <v>47</v>
      </c>
      <c r="B105" s="21">
        <v>4.8</v>
      </c>
    </row>
    <row r="106" spans="1:2" x14ac:dyDescent="0.25">
      <c r="A106" s="16" t="s">
        <v>117</v>
      </c>
      <c r="B106" s="21">
        <v>5</v>
      </c>
    </row>
    <row r="107" spans="1:2" x14ac:dyDescent="0.25">
      <c r="A107" s="16" t="s">
        <v>120</v>
      </c>
      <c r="B107" s="21">
        <v>5</v>
      </c>
    </row>
    <row r="108" spans="1:2" x14ac:dyDescent="0.25">
      <c r="A108" s="16" t="s">
        <v>56</v>
      </c>
      <c r="B108" s="21">
        <v>5</v>
      </c>
    </row>
    <row r="109" spans="1:2" x14ac:dyDescent="0.25">
      <c r="A109" s="16" t="s">
        <v>295</v>
      </c>
      <c r="B109" s="21">
        <v>5</v>
      </c>
    </row>
    <row r="110" spans="1:2" x14ac:dyDescent="0.25">
      <c r="A110" s="16" t="s">
        <v>60</v>
      </c>
      <c r="B110" s="21">
        <v>5</v>
      </c>
    </row>
    <row r="111" spans="1:2" x14ac:dyDescent="0.25">
      <c r="A111" s="16" t="s">
        <v>245</v>
      </c>
      <c r="B111" s="21">
        <v>5</v>
      </c>
    </row>
    <row r="112" spans="1:2" x14ac:dyDescent="0.25">
      <c r="A112" s="16" t="s">
        <v>63</v>
      </c>
      <c r="B112" s="21">
        <v>5</v>
      </c>
    </row>
    <row r="113" spans="1:2" x14ac:dyDescent="0.25">
      <c r="A113" s="16" t="s">
        <v>337</v>
      </c>
      <c r="B113" s="21">
        <v>221.70000000000002</v>
      </c>
    </row>
  </sheetData>
  <pageMargins left="0.7" right="0.7" top="0.75" bottom="0.75" header="0.3" footer="0.3"/>
  <drawing r:id="rId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4E6EB5-3063-4C16-BB8F-D32B94AAC8D1}">
  <dimension ref="A3:C7"/>
  <sheetViews>
    <sheetView workbookViewId="0">
      <selection activeCell="A3" sqref="A3"/>
    </sheetView>
  </sheetViews>
  <sheetFormatPr defaultRowHeight="15" x14ac:dyDescent="0.25"/>
  <cols>
    <col min="1" max="1" width="16.5703125" bestFit="1" customWidth="1"/>
    <col min="2" max="2" width="16.7109375" bestFit="1" customWidth="1"/>
    <col min="3" max="3" width="18.140625" bestFit="1" customWidth="1"/>
  </cols>
  <sheetData>
    <row r="3" spans="1:3" x14ac:dyDescent="0.25">
      <c r="A3" s="15" t="s">
        <v>336</v>
      </c>
      <c r="B3" t="s">
        <v>347</v>
      </c>
      <c r="C3" t="s">
        <v>360</v>
      </c>
    </row>
    <row r="4" spans="1:3" x14ac:dyDescent="0.25">
      <c r="A4" s="16" t="s">
        <v>339</v>
      </c>
      <c r="B4" s="21">
        <v>3.6133333333333324</v>
      </c>
      <c r="C4" s="21">
        <v>11.133333333333333</v>
      </c>
    </row>
    <row r="5" spans="1:3" x14ac:dyDescent="0.25">
      <c r="A5" s="16" t="s">
        <v>368</v>
      </c>
      <c r="B5" s="21">
        <v>3.7249999999999996</v>
      </c>
      <c r="C5" s="21">
        <v>9.5</v>
      </c>
    </row>
    <row r="6" spans="1:3" x14ac:dyDescent="0.25">
      <c r="A6" s="16" t="s">
        <v>369</v>
      </c>
      <c r="B6" s="21">
        <v>4.2782608695652184</v>
      </c>
      <c r="C6" s="21">
        <v>15.260869565217391</v>
      </c>
    </row>
    <row r="7" spans="1:3" x14ac:dyDescent="0.25">
      <c r="A7" s="16" t="s">
        <v>337</v>
      </c>
      <c r="B7" s="21">
        <v>3.8894736842105253</v>
      </c>
      <c r="C7" s="21">
        <v>12.684210526315789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167390-465F-4E9C-862D-C5ECF23D8F5A}">
  <dimension ref="A3:G12"/>
  <sheetViews>
    <sheetView workbookViewId="0">
      <selection activeCell="F3" sqref="F3"/>
    </sheetView>
  </sheetViews>
  <sheetFormatPr defaultRowHeight="15" x14ac:dyDescent="0.25"/>
  <cols>
    <col min="1" max="1" width="13.42578125" bestFit="1" customWidth="1"/>
    <col min="2" max="2" width="16.42578125" bestFit="1" customWidth="1"/>
    <col min="3" max="3" width="20" bestFit="1" customWidth="1"/>
    <col min="4" max="4" width="13.5703125" bestFit="1" customWidth="1"/>
    <col min="6" max="6" width="16.5703125" bestFit="1" customWidth="1"/>
    <col min="7" max="7" width="16.42578125" bestFit="1" customWidth="1"/>
  </cols>
  <sheetData>
    <row r="3" spans="1:7" x14ac:dyDescent="0.25">
      <c r="A3" t="s">
        <v>362</v>
      </c>
      <c r="B3" t="s">
        <v>363</v>
      </c>
      <c r="C3" t="s">
        <v>364</v>
      </c>
      <c r="D3" t="s">
        <v>365</v>
      </c>
      <c r="F3" s="15" t="s">
        <v>336</v>
      </c>
      <c r="G3" t="s">
        <v>350</v>
      </c>
    </row>
    <row r="4" spans="1:7" x14ac:dyDescent="0.25">
      <c r="A4" s="19">
        <v>112</v>
      </c>
      <c r="B4" s="5">
        <v>3.8894736842105258</v>
      </c>
      <c r="C4" s="4">
        <v>0.36714123251752773</v>
      </c>
      <c r="D4" s="19">
        <v>723</v>
      </c>
      <c r="F4" s="16" t="s">
        <v>339</v>
      </c>
      <c r="G4" s="21">
        <v>62</v>
      </c>
    </row>
    <row r="5" spans="1:7" x14ac:dyDescent="0.25">
      <c r="F5" s="16" t="s">
        <v>368</v>
      </c>
      <c r="G5" s="21">
        <v>18</v>
      </c>
    </row>
    <row r="6" spans="1:7" x14ac:dyDescent="0.25">
      <c r="F6" s="16" t="s">
        <v>369</v>
      </c>
      <c r="G6" s="21">
        <v>32</v>
      </c>
    </row>
    <row r="7" spans="1:7" x14ac:dyDescent="0.25">
      <c r="A7" s="15" t="s">
        <v>336</v>
      </c>
      <c r="B7" t="s">
        <v>350</v>
      </c>
      <c r="F7" s="16" t="s">
        <v>337</v>
      </c>
      <c r="G7" s="21">
        <v>112</v>
      </c>
    </row>
    <row r="8" spans="1:7" x14ac:dyDescent="0.25">
      <c r="A8" s="16" t="s">
        <v>366</v>
      </c>
      <c r="B8" s="21">
        <v>22</v>
      </c>
    </row>
    <row r="9" spans="1:7" x14ac:dyDescent="0.25">
      <c r="A9" s="16" t="s">
        <v>367</v>
      </c>
      <c r="B9" s="21">
        <v>23</v>
      </c>
    </row>
    <row r="10" spans="1:7" x14ac:dyDescent="0.25">
      <c r="A10" s="16" t="s">
        <v>325</v>
      </c>
      <c r="B10" s="21">
        <v>55</v>
      </c>
    </row>
    <row r="11" spans="1:7" x14ac:dyDescent="0.25">
      <c r="A11" s="16" t="s">
        <v>349</v>
      </c>
      <c r="B11" s="21">
        <v>12</v>
      </c>
    </row>
    <row r="12" spans="1:7" x14ac:dyDescent="0.25">
      <c r="A12" s="16" t="s">
        <v>337</v>
      </c>
      <c r="B12" s="21">
        <v>112</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710087-8633-45EF-AC45-266F91E9EA7C}">
  <dimension ref="D4"/>
  <sheetViews>
    <sheetView tabSelected="1" workbookViewId="0">
      <selection activeCell="D4" sqref="D4"/>
    </sheetView>
  </sheetViews>
  <sheetFormatPr defaultRowHeight="15" x14ac:dyDescent="0.25"/>
  <cols>
    <col min="1" max="16384" width="9.140625" style="20"/>
  </cols>
  <sheetData>
    <row r="4" spans="4:4" x14ac:dyDescent="0.25">
      <c r="D4" s="22"/>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C36CD-227A-493D-AF0B-12EB49A06619}">
  <dimension ref="A1:O113"/>
  <sheetViews>
    <sheetView topLeftCell="B1" workbookViewId="0">
      <pane ySplit="1" topLeftCell="A78" activePane="bottomLeft" state="frozen"/>
      <selection pane="bottomLeft" activeCell="H12" sqref="A1:O113"/>
    </sheetView>
  </sheetViews>
  <sheetFormatPr defaultRowHeight="15" x14ac:dyDescent="0.25"/>
  <cols>
    <col min="1" max="1" width="95" bestFit="1" customWidth="1"/>
    <col min="2" max="2" width="13.140625" style="11" bestFit="1" customWidth="1"/>
    <col min="3" max="3" width="11.85546875" style="3" bestFit="1" customWidth="1"/>
    <col min="4" max="4" width="9.28515625" style="11" bestFit="1" customWidth="1"/>
    <col min="5" max="5" width="11.85546875" style="3" bestFit="1" customWidth="1"/>
    <col min="6" max="6" width="15.5703125" style="3" bestFit="1" customWidth="1"/>
    <col min="7" max="7" width="12.140625" style="4" bestFit="1" customWidth="1"/>
    <col min="8" max="8" width="18" style="4" bestFit="1" customWidth="1"/>
    <col min="9" max="9" width="16.5703125" style="4" bestFit="1" customWidth="1"/>
    <col min="10" max="10" width="12.28515625" style="11" bestFit="1" customWidth="1"/>
    <col min="11" max="11" width="12.28515625" bestFit="1" customWidth="1"/>
    <col min="12" max="12" width="12.28515625" style="11" bestFit="1" customWidth="1"/>
    <col min="13" max="13" width="12.28515625" style="5" bestFit="1" customWidth="1"/>
    <col min="14" max="14" width="15.42578125" bestFit="1" customWidth="1"/>
    <col min="15" max="15" width="12.28515625" bestFit="1" customWidth="1"/>
  </cols>
  <sheetData>
    <row r="1" spans="1:15" s="2" customFormat="1" x14ac:dyDescent="0.25">
      <c r="A1" s="2" t="s">
        <v>0</v>
      </c>
      <c r="B1" s="10" t="s">
        <v>340</v>
      </c>
      <c r="C1" s="6" t="s">
        <v>326</v>
      </c>
      <c r="D1" s="10" t="s">
        <v>341</v>
      </c>
      <c r="E1" s="6" t="s">
        <v>327</v>
      </c>
      <c r="F1" s="6" t="s">
        <v>328</v>
      </c>
      <c r="G1" s="17" t="s">
        <v>338</v>
      </c>
      <c r="H1" s="7" t="s">
        <v>335</v>
      </c>
      <c r="I1" s="7" t="s">
        <v>331</v>
      </c>
      <c r="J1" s="10" t="s">
        <v>342</v>
      </c>
      <c r="K1" s="8" t="s">
        <v>332</v>
      </c>
      <c r="L1" s="10" t="s">
        <v>343</v>
      </c>
      <c r="M1" s="9" t="s">
        <v>5</v>
      </c>
      <c r="N1" s="8" t="s">
        <v>335</v>
      </c>
      <c r="O1" s="8" t="s">
        <v>329</v>
      </c>
    </row>
    <row r="2" spans="1:15" x14ac:dyDescent="0.25">
      <c r="A2" t="s">
        <v>6</v>
      </c>
      <c r="B2" s="11" t="s">
        <v>7</v>
      </c>
      <c r="C2" s="3">
        <f t="shared" ref="C2:C33" si="0">IFERROR(VALUE(SUBSTITUTE(SUBSTITUTE(TRIM(B2),"KSh",""),",","")),0)</f>
        <v>950</v>
      </c>
      <c r="D2" s="11" t="s">
        <v>8</v>
      </c>
      <c r="E2" s="3">
        <f>IFERROR(VALUE(SUBSTITUTE(SUBSTITUTE(TRIM(D2),"KSh",""),",","")),0)</f>
        <v>1525</v>
      </c>
      <c r="F2" s="3">
        <f>E2-C2</f>
        <v>575</v>
      </c>
      <c r="G2" s="4">
        <f>(E2 - C2) / E2</f>
        <v>0.37704918032786883</v>
      </c>
      <c r="H2" s="4" t="str">
        <f>IF(G2&lt;0.2,"Low Discount",IF(G2&lt;=0.4,"Medium Discount","High Discount"))</f>
        <v>Medium Discount</v>
      </c>
      <c r="I2" s="4" t="str" cm="1">
        <f t="array" ref="I2">_xlfn.IFS(G2&lt;0.2,"Low Discount",G2&lt;=0.4,"Medium Discount",G2&gt;0.4,"High Discount")</f>
        <v>Medium Discount</v>
      </c>
      <c r="J2" s="11">
        <v>-2</v>
      </c>
      <c r="K2">
        <f>IF(J2&lt;0,-J2,J2)</f>
        <v>2</v>
      </c>
      <c r="L2" s="11" t="s">
        <v>9</v>
      </c>
      <c r="M2" s="5">
        <f>IFERROR(VALUE(SUBSTITUTE(TRIM(L2)," out of 5","")),L2)</f>
        <v>4.5</v>
      </c>
      <c r="N2" t="str">
        <f>IF(M2="Not Provided","Not Provided",IF(M2&lt;3,"Poor",IF(M2&lt;=4.4,"Average","Excellent")))</f>
        <v>Excellent</v>
      </c>
      <c r="O2" t="str" cm="1">
        <f t="array" ref="O2">_xlfn.IFS(M2="Not Provided","Not Provided",M2&lt;3,"Poor",M2&lt;=4.4,"Average",M2&gt;=4.5,"Excellent")</f>
        <v>Excellent</v>
      </c>
    </row>
    <row r="3" spans="1:15" x14ac:dyDescent="0.25">
      <c r="A3" t="s">
        <v>10</v>
      </c>
      <c r="B3" s="11" t="s">
        <v>11</v>
      </c>
      <c r="C3" s="3">
        <f t="shared" si="0"/>
        <v>527</v>
      </c>
      <c r="D3" s="11" t="s">
        <v>12</v>
      </c>
      <c r="E3" s="3">
        <f>IFERROR(VALUE(SUBSTITUTE(SUBSTITUTE(TRIM(D3),"KSh",""),",","")),0)</f>
        <v>999</v>
      </c>
      <c r="F3" s="3">
        <f t="shared" ref="F3:F66" si="1">E3-C3</f>
        <v>472</v>
      </c>
      <c r="G3" s="4">
        <f t="shared" ref="G3:G66" si="2">(E3 - C3) / E3</f>
        <v>0.47247247247247248</v>
      </c>
      <c r="H3" s="4" t="str">
        <f t="shared" ref="H3:H66" si="3">IF(G3&lt;0.2,"Low Discount",IF(G3&lt;=0.4,"Medium Discount","High Discount"))</f>
        <v>High Discount</v>
      </c>
      <c r="I3" s="4" t="str" cm="1">
        <f t="array" ref="I3">_xlfn.IFS(G3&lt;0.2,"Low Discount",G3&lt;=0.4,"Medium Discount",G3&gt;0.4,"High Discount")</f>
        <v>High Discount</v>
      </c>
      <c r="J3" s="11">
        <v>-14</v>
      </c>
      <c r="K3">
        <f t="shared" ref="K3:K66" si="4">IF(J3&lt;0,-J3,J3)</f>
        <v>14</v>
      </c>
      <c r="L3" s="11" t="s">
        <v>13</v>
      </c>
      <c r="M3" s="5">
        <f t="shared" ref="M3:M66" si="5">IFERROR(VALUE(SUBSTITUTE(TRIM(L3)," out of 5","")),L3)</f>
        <v>4.0999999999999996</v>
      </c>
      <c r="N3" t="str">
        <f t="shared" ref="N3:N66" si="6">IF(M3="Not Provided","Not Provided",IF(M3&lt;3,"Poor",IF(M3&lt;=4.4,"Average","Excellent")))</f>
        <v>Average</v>
      </c>
      <c r="O3" t="str" cm="1">
        <f t="array" ref="O3">_xlfn.IFS(M3="Not Provided","Not Provided",M3&lt;3,"Poor",M3&lt;=4.4,"Average",M3&gt;=4.5,"Excellent")</f>
        <v>Average</v>
      </c>
    </row>
    <row r="4" spans="1:15" x14ac:dyDescent="0.25">
      <c r="A4" t="s">
        <v>14</v>
      </c>
      <c r="B4" s="11" t="s">
        <v>15</v>
      </c>
      <c r="C4" s="3">
        <f t="shared" si="0"/>
        <v>2199</v>
      </c>
      <c r="D4" s="11" t="s">
        <v>16</v>
      </c>
      <c r="E4" s="3">
        <f t="shared" ref="E4:E67" si="7">IFERROR(VALUE(SUBSTITUTE(SUBSTITUTE(TRIM(D4),"KSh",""),",","")),0)</f>
        <v>2923</v>
      </c>
      <c r="F4" s="3">
        <f t="shared" si="1"/>
        <v>724</v>
      </c>
      <c r="G4" s="4">
        <f t="shared" si="2"/>
        <v>0.24769072870338693</v>
      </c>
      <c r="H4" s="4" t="str">
        <f t="shared" si="3"/>
        <v>Medium Discount</v>
      </c>
      <c r="I4" s="4" t="str" cm="1">
        <f t="array" ref="I4">_xlfn.IFS(G4&lt;0.2,"Low Discount",G4&lt;=0.4,"Medium Discount",G4&gt;0.4,"High Discount")</f>
        <v>Medium Discount</v>
      </c>
      <c r="J4" s="11">
        <v>-24</v>
      </c>
      <c r="K4">
        <f t="shared" si="4"/>
        <v>24</v>
      </c>
      <c r="L4" s="11" t="s">
        <v>17</v>
      </c>
      <c r="M4" s="5">
        <f t="shared" si="5"/>
        <v>4.5999999999999996</v>
      </c>
      <c r="N4" t="str">
        <f t="shared" si="6"/>
        <v>Excellent</v>
      </c>
      <c r="O4" t="str" cm="1">
        <f t="array" ref="O4">_xlfn.IFS(M4="Not Provided","Not Provided",M4&lt;3,"Poor",M4&lt;=4.4,"Average",M4&gt;=4.5,"Excellent")</f>
        <v>Excellent</v>
      </c>
    </row>
    <row r="5" spans="1:15" x14ac:dyDescent="0.25">
      <c r="A5" t="s">
        <v>18</v>
      </c>
      <c r="B5" s="11" t="s">
        <v>19</v>
      </c>
      <c r="C5" s="3">
        <f t="shared" si="0"/>
        <v>1580</v>
      </c>
      <c r="D5" s="11" t="s">
        <v>20</v>
      </c>
      <c r="E5" s="3">
        <f t="shared" si="7"/>
        <v>2499</v>
      </c>
      <c r="F5" s="3">
        <f t="shared" si="1"/>
        <v>919</v>
      </c>
      <c r="G5" s="4">
        <f t="shared" si="2"/>
        <v>0.36774709883953582</v>
      </c>
      <c r="H5" s="4" t="str">
        <f t="shared" si="3"/>
        <v>Medium Discount</v>
      </c>
      <c r="I5" s="4" t="str" cm="1">
        <f t="array" ref="I5">_xlfn.IFS(G5&lt;0.2,"Low Discount",G5&lt;=0.4,"Medium Discount",G5&gt;0.4,"High Discount")</f>
        <v>Medium Discount</v>
      </c>
      <c r="J5" s="11">
        <v>-7</v>
      </c>
      <c r="K5">
        <f t="shared" si="4"/>
        <v>7</v>
      </c>
      <c r="L5" s="11" t="s">
        <v>21</v>
      </c>
      <c r="M5" s="5">
        <f t="shared" si="5"/>
        <v>4.7</v>
      </c>
      <c r="N5" t="str">
        <f t="shared" si="6"/>
        <v>Excellent</v>
      </c>
      <c r="O5" t="str" cm="1">
        <f t="array" ref="O5">_xlfn.IFS(M5="Not Provided","Not Provided",M5&lt;3,"Poor",M5&lt;=4.4,"Average",M5&gt;=4.5,"Excellent")</f>
        <v>Excellent</v>
      </c>
    </row>
    <row r="6" spans="1:15" x14ac:dyDescent="0.25">
      <c r="A6" t="s">
        <v>22</v>
      </c>
      <c r="B6" s="11" t="s">
        <v>23</v>
      </c>
      <c r="C6" s="3">
        <f t="shared" si="0"/>
        <v>1740</v>
      </c>
      <c r="D6" s="11" t="s">
        <v>24</v>
      </c>
      <c r="E6" s="3">
        <f t="shared" si="7"/>
        <v>2356</v>
      </c>
      <c r="F6" s="3">
        <f t="shared" si="1"/>
        <v>616</v>
      </c>
      <c r="G6" s="4">
        <f t="shared" si="2"/>
        <v>0.26146010186757218</v>
      </c>
      <c r="H6" s="4" t="str">
        <f t="shared" si="3"/>
        <v>Medium Discount</v>
      </c>
      <c r="I6" s="4" t="str" cm="1">
        <f t="array" ref="I6">_xlfn.IFS(G6&lt;0.2,"Low Discount",G6&lt;=0.4,"Medium Discount",G6&gt;0.4,"High Discount")</f>
        <v>Medium Discount</v>
      </c>
      <c r="J6" s="11">
        <v>-5</v>
      </c>
      <c r="K6">
        <f t="shared" si="4"/>
        <v>5</v>
      </c>
      <c r="L6" s="11" t="s">
        <v>25</v>
      </c>
      <c r="M6" s="5">
        <f t="shared" si="5"/>
        <v>4.8</v>
      </c>
      <c r="N6" t="str">
        <f t="shared" si="6"/>
        <v>Excellent</v>
      </c>
      <c r="O6" t="str" cm="1">
        <f t="array" ref="O6">_xlfn.IFS(M6="Not Provided","Not Provided",M6&lt;3,"Poor",M6&lt;=4.4,"Average",M6&gt;=4.5,"Excellent")</f>
        <v>Excellent</v>
      </c>
    </row>
    <row r="7" spans="1:15" x14ac:dyDescent="0.25">
      <c r="A7" t="s">
        <v>26</v>
      </c>
      <c r="B7" s="11" t="s">
        <v>27</v>
      </c>
      <c r="C7" s="3">
        <f t="shared" si="0"/>
        <v>2999</v>
      </c>
      <c r="D7" s="11" t="s">
        <v>28</v>
      </c>
      <c r="E7" s="3">
        <f t="shared" si="7"/>
        <v>3290</v>
      </c>
      <c r="F7" s="3">
        <f t="shared" si="1"/>
        <v>291</v>
      </c>
      <c r="G7" s="4">
        <f t="shared" si="2"/>
        <v>8.8449848024316116E-2</v>
      </c>
      <c r="H7" s="4" t="str">
        <f t="shared" si="3"/>
        <v>Low Discount</v>
      </c>
      <c r="I7" s="4" t="str" cm="1">
        <f t="array" ref="I7">_xlfn.IFS(G7&lt;0.2,"Low Discount",G7&lt;=0.4,"Medium Discount",G7&gt;0.4,"High Discount")</f>
        <v>Low Discount</v>
      </c>
      <c r="J7" s="11">
        <v>-15</v>
      </c>
      <c r="K7">
        <f t="shared" si="4"/>
        <v>15</v>
      </c>
      <c r="L7" s="11" t="s">
        <v>29</v>
      </c>
      <c r="M7" s="5">
        <f t="shared" si="5"/>
        <v>4</v>
      </c>
      <c r="N7" t="str">
        <f t="shared" si="6"/>
        <v>Average</v>
      </c>
      <c r="O7" t="str" cm="1">
        <f t="array" ref="O7">_xlfn.IFS(M7="Not Provided","Not Provided",M7&lt;3,"Poor",M7&lt;=4.4,"Average",M7&gt;=4.5,"Excellent")</f>
        <v>Average</v>
      </c>
    </row>
    <row r="8" spans="1:15" x14ac:dyDescent="0.25">
      <c r="A8" t="s">
        <v>30</v>
      </c>
      <c r="B8" s="11" t="s">
        <v>31</v>
      </c>
      <c r="C8" s="3">
        <f t="shared" si="0"/>
        <v>2319</v>
      </c>
      <c r="D8" s="11" t="s">
        <v>32</v>
      </c>
      <c r="E8" s="3">
        <f t="shared" si="7"/>
        <v>3032</v>
      </c>
      <c r="F8" s="3">
        <f t="shared" si="1"/>
        <v>713</v>
      </c>
      <c r="G8" s="4">
        <f t="shared" si="2"/>
        <v>0.23515831134564644</v>
      </c>
      <c r="H8" s="4" t="str">
        <f t="shared" si="3"/>
        <v>Medium Discount</v>
      </c>
      <c r="I8" s="4" t="str" cm="1">
        <f t="array" ref="I8">_xlfn.IFS(G8&lt;0.2,"Low Discount",G8&lt;=0.4,"Medium Discount",G8&gt;0.4,"High Discount")</f>
        <v>Medium Discount</v>
      </c>
      <c r="J8" s="11">
        <v>-55</v>
      </c>
      <c r="K8">
        <f t="shared" si="4"/>
        <v>55</v>
      </c>
      <c r="L8" s="11" t="s">
        <v>17</v>
      </c>
      <c r="M8" s="5">
        <f t="shared" si="5"/>
        <v>4.5999999999999996</v>
      </c>
      <c r="N8" t="str">
        <f t="shared" si="6"/>
        <v>Excellent</v>
      </c>
      <c r="O8" t="str" cm="1">
        <f t="array" ref="O8">_xlfn.IFS(M8="Not Provided","Not Provided",M8&lt;3,"Poor",M8&lt;=4.4,"Average",M8&gt;=4.5,"Excellent")</f>
        <v>Excellent</v>
      </c>
    </row>
    <row r="9" spans="1:15" x14ac:dyDescent="0.25">
      <c r="A9" t="s">
        <v>33</v>
      </c>
      <c r="B9" s="11" t="s">
        <v>34</v>
      </c>
      <c r="C9" s="3">
        <f t="shared" si="0"/>
        <v>988</v>
      </c>
      <c r="D9" s="11" t="s">
        <v>19</v>
      </c>
      <c r="E9" s="3">
        <f t="shared" si="7"/>
        <v>1580</v>
      </c>
      <c r="F9" s="3">
        <f t="shared" si="1"/>
        <v>592</v>
      </c>
      <c r="G9" s="4">
        <f t="shared" si="2"/>
        <v>0.37468354430379747</v>
      </c>
      <c r="H9" s="4" t="str">
        <f t="shared" si="3"/>
        <v>Medium Discount</v>
      </c>
      <c r="I9" s="4" t="str" cm="1">
        <f t="array" ref="I9">_xlfn.IFS(G9&lt;0.2,"Low Discount",G9&lt;=0.4,"Medium Discount",G9&gt;0.4,"High Discount")</f>
        <v>Medium Discount</v>
      </c>
      <c r="J9" s="11">
        <v>-2</v>
      </c>
      <c r="K9">
        <f t="shared" si="4"/>
        <v>2</v>
      </c>
      <c r="L9" s="11" t="s">
        <v>29</v>
      </c>
      <c r="M9" s="5">
        <f t="shared" si="5"/>
        <v>4</v>
      </c>
      <c r="N9" t="str">
        <f t="shared" si="6"/>
        <v>Average</v>
      </c>
      <c r="O9" t="str" cm="1">
        <f t="array" ref="O9">_xlfn.IFS(M9="Not Provided","Not Provided",M9&lt;3,"Poor",M9&lt;=4.4,"Average",M9&gt;=4.5,"Excellent")</f>
        <v>Average</v>
      </c>
    </row>
    <row r="10" spans="1:15" x14ac:dyDescent="0.25">
      <c r="A10" t="s">
        <v>35</v>
      </c>
      <c r="B10" s="11" t="s">
        <v>36</v>
      </c>
      <c r="C10" s="3">
        <f t="shared" si="0"/>
        <v>1274</v>
      </c>
      <c r="D10" s="11" t="s">
        <v>37</v>
      </c>
      <c r="E10" s="3">
        <f t="shared" si="7"/>
        <v>2800</v>
      </c>
      <c r="F10" s="3">
        <f t="shared" si="1"/>
        <v>1526</v>
      </c>
      <c r="G10" s="4">
        <f t="shared" si="2"/>
        <v>0.54500000000000004</v>
      </c>
      <c r="H10" s="4" t="str">
        <f t="shared" si="3"/>
        <v>High Discount</v>
      </c>
      <c r="I10" s="4" t="str" cm="1">
        <f t="array" ref="I10">_xlfn.IFS(G10&lt;0.2,"Low Discount",G10&lt;=0.4,"Medium Discount",G10&gt;0.4,"High Discount")</f>
        <v>High Discount</v>
      </c>
      <c r="J10" s="11">
        <v>-5</v>
      </c>
      <c r="K10">
        <f t="shared" si="4"/>
        <v>5</v>
      </c>
      <c r="L10" s="11" t="s">
        <v>25</v>
      </c>
      <c r="M10" s="5">
        <f t="shared" si="5"/>
        <v>4.8</v>
      </c>
      <c r="N10" t="str">
        <f t="shared" si="6"/>
        <v>Excellent</v>
      </c>
      <c r="O10" t="str" cm="1">
        <f t="array" ref="O10">_xlfn.IFS(M10="Not Provided","Not Provided",M10&lt;3,"Poor",M10&lt;=4.4,"Average",M10&gt;=4.5,"Excellent")</f>
        <v>Excellent</v>
      </c>
    </row>
    <row r="11" spans="1:15" x14ac:dyDescent="0.25">
      <c r="A11" t="s">
        <v>38</v>
      </c>
      <c r="B11" s="11" t="s">
        <v>39</v>
      </c>
      <c r="C11" s="3">
        <f t="shared" si="0"/>
        <v>1600</v>
      </c>
      <c r="D11" s="11" t="s">
        <v>40</v>
      </c>
      <c r="E11" s="3">
        <f t="shared" si="7"/>
        <v>2929</v>
      </c>
      <c r="F11" s="3">
        <f t="shared" si="1"/>
        <v>1329</v>
      </c>
      <c r="G11" s="4">
        <f t="shared" si="2"/>
        <v>0.45373847729600547</v>
      </c>
      <c r="H11" s="4" t="str">
        <f t="shared" si="3"/>
        <v>High Discount</v>
      </c>
      <c r="I11" s="4" t="str" cm="1">
        <f t="array" ref="I11">_xlfn.IFS(G11&lt;0.2,"Low Discount",G11&lt;=0.4,"Medium Discount",G11&gt;0.4,"High Discount")</f>
        <v>High Discount</v>
      </c>
      <c r="J11" s="11">
        <v>-5</v>
      </c>
      <c r="K11">
        <f t="shared" si="4"/>
        <v>5</v>
      </c>
      <c r="L11" s="11" t="s">
        <v>41</v>
      </c>
      <c r="M11" s="5">
        <f t="shared" si="5"/>
        <v>3.8</v>
      </c>
      <c r="N11" t="str">
        <f t="shared" si="6"/>
        <v>Average</v>
      </c>
      <c r="O11" t="str" cm="1">
        <f t="array" ref="O11">_xlfn.IFS(M11="Not Provided","Not Provided",M11&lt;3,"Poor",M11&lt;=4.4,"Average",M11&gt;=4.5,"Excellent")</f>
        <v>Average</v>
      </c>
    </row>
    <row r="12" spans="1:15" x14ac:dyDescent="0.25">
      <c r="A12" t="s">
        <v>42</v>
      </c>
      <c r="B12" s="11" t="s">
        <v>43</v>
      </c>
      <c r="C12" s="3">
        <f t="shared" si="0"/>
        <v>799</v>
      </c>
      <c r="D12" s="11" t="s">
        <v>12</v>
      </c>
      <c r="E12" s="3">
        <f t="shared" si="7"/>
        <v>999</v>
      </c>
      <c r="F12" s="3">
        <f t="shared" si="1"/>
        <v>200</v>
      </c>
      <c r="G12" s="4">
        <f t="shared" si="2"/>
        <v>0.20020020020020021</v>
      </c>
      <c r="H12" s="4" t="str">
        <f t="shared" si="3"/>
        <v>Medium Discount</v>
      </c>
      <c r="I12" s="4" t="str" cm="1">
        <f t="array" ref="I12">_xlfn.IFS(G12&lt;0.2,"Low Discount",G12&lt;=0.4,"Medium Discount",G12&gt;0.4,"High Discount")</f>
        <v>Medium Discount</v>
      </c>
      <c r="J12" s="11">
        <v>-12</v>
      </c>
      <c r="K12">
        <f t="shared" si="4"/>
        <v>12</v>
      </c>
      <c r="L12" s="11" t="s">
        <v>13</v>
      </c>
      <c r="M12" s="5">
        <f t="shared" si="5"/>
        <v>4.0999999999999996</v>
      </c>
      <c r="N12" t="str">
        <f t="shared" si="6"/>
        <v>Average</v>
      </c>
      <c r="O12" t="str" cm="1">
        <f t="array" ref="O12">_xlfn.IFS(M12="Not Provided","Not Provided",M12&lt;3,"Poor",M12&lt;=4.4,"Average",M12&gt;=4.5,"Excellent")</f>
        <v>Average</v>
      </c>
    </row>
    <row r="13" spans="1:15" x14ac:dyDescent="0.25">
      <c r="A13" t="s">
        <v>44</v>
      </c>
      <c r="B13" s="11" t="s">
        <v>45</v>
      </c>
      <c r="C13" s="3">
        <f t="shared" si="0"/>
        <v>990</v>
      </c>
      <c r="D13" s="11" t="s">
        <v>46</v>
      </c>
      <c r="E13" s="3">
        <f t="shared" si="7"/>
        <v>1500</v>
      </c>
      <c r="F13" s="3">
        <f t="shared" si="1"/>
        <v>510</v>
      </c>
      <c r="G13" s="4">
        <f t="shared" si="2"/>
        <v>0.34</v>
      </c>
      <c r="H13" s="4" t="str">
        <f t="shared" si="3"/>
        <v>Medium Discount</v>
      </c>
      <c r="I13" s="4" t="str" cm="1">
        <f t="array" ref="I13">_xlfn.IFS(G13&lt;0.2,"Low Discount",G13&lt;=0.4,"Medium Discount",G13&gt;0.4,"High Discount")</f>
        <v>Medium Discount</v>
      </c>
      <c r="J13" s="11">
        <v>-39</v>
      </c>
      <c r="K13">
        <f t="shared" si="4"/>
        <v>39</v>
      </c>
      <c r="L13" s="11" t="s">
        <v>21</v>
      </c>
      <c r="M13" s="5">
        <f t="shared" si="5"/>
        <v>4.7</v>
      </c>
      <c r="N13" t="str">
        <f t="shared" si="6"/>
        <v>Excellent</v>
      </c>
      <c r="O13" t="str" cm="1">
        <f t="array" ref="O13">_xlfn.IFS(M13="Not Provided","Not Provided",M13&lt;3,"Poor",M13&lt;=4.4,"Average",M13&gt;=4.5,"Excellent")</f>
        <v>Excellent</v>
      </c>
    </row>
    <row r="14" spans="1:15" x14ac:dyDescent="0.25">
      <c r="A14" t="s">
        <v>47</v>
      </c>
      <c r="B14" s="11" t="s">
        <v>48</v>
      </c>
      <c r="C14" s="3">
        <f t="shared" si="0"/>
        <v>552</v>
      </c>
      <c r="D14" s="11" t="s">
        <v>49</v>
      </c>
      <c r="E14" s="3">
        <f t="shared" si="7"/>
        <v>1035</v>
      </c>
      <c r="F14" s="3">
        <f t="shared" si="1"/>
        <v>483</v>
      </c>
      <c r="G14" s="4">
        <f t="shared" si="2"/>
        <v>0.46666666666666667</v>
      </c>
      <c r="H14" s="4" t="str">
        <f t="shared" si="3"/>
        <v>High Discount</v>
      </c>
      <c r="I14" s="4" t="str" cm="1">
        <f t="array" ref="I14">_xlfn.IFS(G14&lt;0.2,"Low Discount",G14&lt;=0.4,"Medium Discount",G14&gt;0.4,"High Discount")</f>
        <v>High Discount</v>
      </c>
      <c r="J14" s="11">
        <v>-12</v>
      </c>
      <c r="K14">
        <f t="shared" si="4"/>
        <v>12</v>
      </c>
      <c r="L14" s="11" t="s">
        <v>25</v>
      </c>
      <c r="M14" s="5">
        <f t="shared" si="5"/>
        <v>4.8</v>
      </c>
      <c r="N14" t="str">
        <f t="shared" si="6"/>
        <v>Excellent</v>
      </c>
      <c r="O14" t="str" cm="1">
        <f t="array" ref="O14">_xlfn.IFS(M14="Not Provided","Not Provided",M14&lt;3,"Poor",M14&lt;=4.4,"Average",M14&gt;=4.5,"Excellent")</f>
        <v>Excellent</v>
      </c>
    </row>
    <row r="15" spans="1:15" x14ac:dyDescent="0.25">
      <c r="A15" t="s">
        <v>50</v>
      </c>
      <c r="B15" s="11" t="s">
        <v>51</v>
      </c>
      <c r="C15" s="3">
        <f t="shared" si="0"/>
        <v>501</v>
      </c>
      <c r="D15" s="11" t="s">
        <v>52</v>
      </c>
      <c r="E15" s="3">
        <f t="shared" si="7"/>
        <v>860</v>
      </c>
      <c r="F15" s="3">
        <f t="shared" si="1"/>
        <v>359</v>
      </c>
      <c r="G15" s="4">
        <f t="shared" si="2"/>
        <v>0.41744186046511628</v>
      </c>
      <c r="H15" s="4" t="str">
        <f t="shared" si="3"/>
        <v>High Discount</v>
      </c>
      <c r="I15" s="4" t="str" cm="1">
        <f t="array" ref="I15">_xlfn.IFS(G15&lt;0.2,"Low Discount",G15&lt;=0.4,"Medium Discount",G15&gt;0.4,"High Discount")</f>
        <v>High Discount</v>
      </c>
      <c r="J15" s="11">
        <v>-6</v>
      </c>
      <c r="K15">
        <f t="shared" si="4"/>
        <v>6</v>
      </c>
      <c r="L15" s="11" t="s">
        <v>9</v>
      </c>
      <c r="M15" s="5">
        <f t="shared" si="5"/>
        <v>4.5</v>
      </c>
      <c r="N15" t="str">
        <f t="shared" si="6"/>
        <v>Excellent</v>
      </c>
      <c r="O15" t="str" cm="1">
        <f t="array" ref="O15">_xlfn.IFS(M15="Not Provided","Not Provided",M15&lt;3,"Poor",M15&lt;=4.4,"Average",M15&gt;=4.5,"Excellent")</f>
        <v>Excellent</v>
      </c>
    </row>
    <row r="16" spans="1:15" x14ac:dyDescent="0.25">
      <c r="A16" t="s">
        <v>53</v>
      </c>
      <c r="B16" s="11" t="s">
        <v>54</v>
      </c>
      <c r="C16" s="3">
        <f t="shared" si="0"/>
        <v>1680</v>
      </c>
      <c r="D16" s="11" t="s">
        <v>20</v>
      </c>
      <c r="E16" s="3">
        <f t="shared" si="7"/>
        <v>2499</v>
      </c>
      <c r="F16" s="3">
        <f t="shared" si="1"/>
        <v>819</v>
      </c>
      <c r="G16" s="4">
        <f t="shared" si="2"/>
        <v>0.32773109243697479</v>
      </c>
      <c r="H16" s="4" t="str">
        <f t="shared" si="3"/>
        <v>Medium Discount</v>
      </c>
      <c r="I16" s="4" t="str" cm="1">
        <f t="array" ref="I16">_xlfn.IFS(G16&lt;0.2,"Low Discount",G16&lt;=0.4,"Medium Discount",G16&gt;0.4,"High Discount")</f>
        <v>Medium Discount</v>
      </c>
      <c r="J16" s="11">
        <v>-9</v>
      </c>
      <c r="K16">
        <f t="shared" si="4"/>
        <v>9</v>
      </c>
      <c r="L16" s="11" t="s">
        <v>55</v>
      </c>
      <c r="M16" s="5">
        <f t="shared" si="5"/>
        <v>4.2</v>
      </c>
      <c r="N16" t="str">
        <f t="shared" si="6"/>
        <v>Average</v>
      </c>
      <c r="O16" t="str" cm="1">
        <f t="array" ref="O16">_xlfn.IFS(M16="Not Provided","Not Provided",M16&lt;3,"Poor",M16&lt;=4.4,"Average",M16&gt;=4.5,"Excellent")</f>
        <v>Average</v>
      </c>
    </row>
    <row r="17" spans="1:15" x14ac:dyDescent="0.25">
      <c r="A17" t="s">
        <v>56</v>
      </c>
      <c r="B17" s="11" t="s">
        <v>57</v>
      </c>
      <c r="C17" s="3">
        <f t="shared" si="0"/>
        <v>332</v>
      </c>
      <c r="D17" s="11" t="s">
        <v>58</v>
      </c>
      <c r="E17" s="3">
        <f t="shared" si="7"/>
        <v>684</v>
      </c>
      <c r="F17" s="3">
        <f t="shared" si="1"/>
        <v>352</v>
      </c>
      <c r="G17" s="4">
        <f t="shared" si="2"/>
        <v>0.51461988304093564</v>
      </c>
      <c r="H17" s="4" t="str">
        <f t="shared" si="3"/>
        <v>High Discount</v>
      </c>
      <c r="I17" s="4" t="str" cm="1">
        <f t="array" ref="I17">_xlfn.IFS(G17&lt;0.2,"Low Discount",G17&lt;=0.4,"Medium Discount",G17&gt;0.4,"High Discount")</f>
        <v>High Discount</v>
      </c>
      <c r="J17" s="11">
        <v>-2</v>
      </c>
      <c r="K17">
        <f t="shared" si="4"/>
        <v>2</v>
      </c>
      <c r="L17" s="11" t="s">
        <v>59</v>
      </c>
      <c r="M17" s="5">
        <f t="shared" si="5"/>
        <v>5</v>
      </c>
      <c r="N17" t="str">
        <f t="shared" si="6"/>
        <v>Excellent</v>
      </c>
      <c r="O17" t="str" cm="1">
        <f t="array" ref="O17">_xlfn.IFS(M17="Not Provided","Not Provided",M17&lt;3,"Poor",M17&lt;=4.4,"Average",M17&gt;=4.5,"Excellent")</f>
        <v>Excellent</v>
      </c>
    </row>
    <row r="18" spans="1:15" x14ac:dyDescent="0.25">
      <c r="A18" t="s">
        <v>60</v>
      </c>
      <c r="B18" s="11" t="s">
        <v>61</v>
      </c>
      <c r="C18" s="3">
        <f t="shared" si="0"/>
        <v>195</v>
      </c>
      <c r="D18" s="11" t="s">
        <v>62</v>
      </c>
      <c r="E18" s="3">
        <f t="shared" si="7"/>
        <v>360</v>
      </c>
      <c r="F18" s="3">
        <f t="shared" si="1"/>
        <v>165</v>
      </c>
      <c r="G18" s="4">
        <f t="shared" si="2"/>
        <v>0.45833333333333331</v>
      </c>
      <c r="H18" s="4" t="str">
        <f t="shared" si="3"/>
        <v>High Discount</v>
      </c>
      <c r="I18" s="4" t="str" cm="1">
        <f t="array" ref="I18">_xlfn.IFS(G18&lt;0.2,"Low Discount",G18&lt;=0.4,"Medium Discount",G18&gt;0.4,"High Discount")</f>
        <v>High Discount</v>
      </c>
      <c r="J18" s="11">
        <v>-2</v>
      </c>
      <c r="K18">
        <f t="shared" si="4"/>
        <v>2</v>
      </c>
      <c r="L18" s="11" t="s">
        <v>59</v>
      </c>
      <c r="M18" s="5">
        <f t="shared" si="5"/>
        <v>5</v>
      </c>
      <c r="N18" t="str">
        <f t="shared" si="6"/>
        <v>Excellent</v>
      </c>
      <c r="O18" t="str" cm="1">
        <f t="array" ref="O18">_xlfn.IFS(M18="Not Provided","Not Provided",M18&lt;3,"Poor",M18&lt;=4.4,"Average",M18&gt;=4.5,"Excellent")</f>
        <v>Excellent</v>
      </c>
    </row>
    <row r="19" spans="1:15" x14ac:dyDescent="0.25">
      <c r="A19" t="s">
        <v>63</v>
      </c>
      <c r="B19" s="11" t="s">
        <v>64</v>
      </c>
      <c r="C19" s="3">
        <f t="shared" si="0"/>
        <v>2025</v>
      </c>
      <c r="D19" s="11" t="s">
        <v>65</v>
      </c>
      <c r="E19" s="3">
        <f t="shared" si="7"/>
        <v>3971</v>
      </c>
      <c r="F19" s="3">
        <f t="shared" si="1"/>
        <v>1946</v>
      </c>
      <c r="G19" s="4">
        <f t="shared" si="2"/>
        <v>0.49005288340468395</v>
      </c>
      <c r="H19" s="4" t="str">
        <f t="shared" si="3"/>
        <v>High Discount</v>
      </c>
      <c r="I19" s="4" t="str" cm="1">
        <f t="array" ref="I19">_xlfn.IFS(G19&lt;0.2,"Low Discount",G19&lt;=0.4,"Medium Discount",G19&gt;0.4,"High Discount")</f>
        <v>High Discount</v>
      </c>
      <c r="J19" s="11">
        <v>-3</v>
      </c>
      <c r="K19">
        <f t="shared" si="4"/>
        <v>3</v>
      </c>
      <c r="L19" s="11" t="s">
        <v>59</v>
      </c>
      <c r="M19" s="5">
        <f t="shared" si="5"/>
        <v>5</v>
      </c>
      <c r="N19" t="str">
        <f t="shared" si="6"/>
        <v>Excellent</v>
      </c>
      <c r="O19" t="str" cm="1">
        <f t="array" ref="O19">_xlfn.IFS(M19="Not Provided","Not Provided",M19&lt;3,"Poor",M19&lt;=4.4,"Average",M19&gt;=4.5,"Excellent")</f>
        <v>Excellent</v>
      </c>
    </row>
    <row r="20" spans="1:15" x14ac:dyDescent="0.25">
      <c r="A20" t="s">
        <v>66</v>
      </c>
      <c r="B20" s="11" t="s">
        <v>27</v>
      </c>
      <c r="C20" s="3">
        <f t="shared" si="0"/>
        <v>2999</v>
      </c>
      <c r="D20" s="11" t="s">
        <v>67</v>
      </c>
      <c r="E20" s="3">
        <f t="shared" si="7"/>
        <v>3699</v>
      </c>
      <c r="F20" s="3">
        <f t="shared" si="1"/>
        <v>700</v>
      </c>
      <c r="G20" s="4">
        <f t="shared" si="2"/>
        <v>0.18924033522573669</v>
      </c>
      <c r="H20" s="4" t="str">
        <f t="shared" si="3"/>
        <v>Low Discount</v>
      </c>
      <c r="I20" s="4" t="str" cm="1">
        <f t="array" ref="I20">_xlfn.IFS(G20&lt;0.2,"Low Discount",G20&lt;=0.4,"Medium Discount",G20&gt;0.4,"High Discount")</f>
        <v>Low Discount</v>
      </c>
      <c r="J20" s="11">
        <v>-5</v>
      </c>
      <c r="K20">
        <f t="shared" si="4"/>
        <v>5</v>
      </c>
      <c r="L20" s="11" t="s">
        <v>17</v>
      </c>
      <c r="M20" s="5">
        <f t="shared" si="5"/>
        <v>4.5999999999999996</v>
      </c>
      <c r="N20" t="str">
        <f t="shared" si="6"/>
        <v>Excellent</v>
      </c>
      <c r="O20" t="str" cm="1">
        <f t="array" ref="O20">_xlfn.IFS(M20="Not Provided","Not Provided",M20&lt;3,"Poor",M20&lt;=4.4,"Average",M20&gt;=4.5,"Excellent")</f>
        <v>Excellent</v>
      </c>
    </row>
    <row r="21" spans="1:15" x14ac:dyDescent="0.25">
      <c r="A21" t="s">
        <v>68</v>
      </c>
      <c r="B21" s="11" t="s">
        <v>69</v>
      </c>
      <c r="C21" s="3">
        <f t="shared" si="0"/>
        <v>998</v>
      </c>
      <c r="D21" s="11" t="s">
        <v>70</v>
      </c>
      <c r="E21" s="3">
        <f t="shared" si="7"/>
        <v>1966</v>
      </c>
      <c r="F21" s="3">
        <f t="shared" si="1"/>
        <v>968</v>
      </c>
      <c r="G21" s="4">
        <f t="shared" si="2"/>
        <v>0.49237029501525942</v>
      </c>
      <c r="H21" s="4" t="str">
        <f t="shared" si="3"/>
        <v>High Discount</v>
      </c>
      <c r="I21" s="4" t="str" cm="1">
        <f t="array" ref="I21">_xlfn.IFS(G21&lt;0.2,"Low Discount",G21&lt;=0.4,"Medium Discount",G21&gt;0.4,"High Discount")</f>
        <v>High Discount</v>
      </c>
      <c r="J21" s="11">
        <v>-44</v>
      </c>
      <c r="K21">
        <f t="shared" si="4"/>
        <v>44</v>
      </c>
      <c r="L21" s="11" t="s">
        <v>17</v>
      </c>
      <c r="M21" s="5">
        <f t="shared" si="5"/>
        <v>4.5999999999999996</v>
      </c>
      <c r="N21" t="str">
        <f t="shared" si="6"/>
        <v>Excellent</v>
      </c>
      <c r="O21" t="str" cm="1">
        <f t="array" ref="O21">_xlfn.IFS(M21="Not Provided","Not Provided",M21&lt;3,"Poor",M21&lt;=4.4,"Average",M21&gt;=4.5,"Excellent")</f>
        <v>Excellent</v>
      </c>
    </row>
    <row r="22" spans="1:15" x14ac:dyDescent="0.25">
      <c r="A22" t="s">
        <v>71</v>
      </c>
      <c r="B22" s="11" t="s">
        <v>72</v>
      </c>
      <c r="C22" s="3">
        <f t="shared" si="0"/>
        <v>38</v>
      </c>
      <c r="D22" s="11" t="s">
        <v>73</v>
      </c>
      <c r="E22" s="3">
        <f t="shared" si="7"/>
        <v>80</v>
      </c>
      <c r="F22" s="3">
        <f t="shared" si="1"/>
        <v>42</v>
      </c>
      <c r="G22" s="4">
        <f t="shared" si="2"/>
        <v>0.52500000000000002</v>
      </c>
      <c r="H22" s="4" t="str">
        <f t="shared" si="3"/>
        <v>High Discount</v>
      </c>
      <c r="I22" s="4" t="str" cm="1">
        <f t="array" ref="I22">_xlfn.IFS(G22&lt;0.2,"Low Discount",G22&lt;=0.4,"Medium Discount",G22&gt;0.4,"High Discount")</f>
        <v>High Discount</v>
      </c>
      <c r="J22" s="11">
        <v>-13</v>
      </c>
      <c r="K22">
        <f t="shared" si="4"/>
        <v>13</v>
      </c>
      <c r="L22" s="11" t="s">
        <v>74</v>
      </c>
      <c r="M22" s="5">
        <f t="shared" si="5"/>
        <v>3.3</v>
      </c>
      <c r="N22" t="str">
        <f t="shared" si="6"/>
        <v>Average</v>
      </c>
      <c r="O22" t="str" cm="1">
        <f t="array" ref="O22">_xlfn.IFS(M22="Not Provided","Not Provided",M22&lt;3,"Poor",M22&lt;=4.4,"Average",M22&gt;=4.5,"Excellent")</f>
        <v>Average</v>
      </c>
    </row>
    <row r="23" spans="1:15" x14ac:dyDescent="0.25">
      <c r="A23" t="s">
        <v>75</v>
      </c>
      <c r="B23" s="11" t="s">
        <v>76</v>
      </c>
      <c r="C23" s="3">
        <f t="shared" si="0"/>
        <v>1860</v>
      </c>
      <c r="D23" s="11" t="s">
        <v>77</v>
      </c>
      <c r="E23" s="3">
        <f t="shared" si="7"/>
        <v>3220</v>
      </c>
      <c r="F23" s="3">
        <f t="shared" si="1"/>
        <v>1360</v>
      </c>
      <c r="G23" s="4">
        <f t="shared" si="2"/>
        <v>0.42236024844720499</v>
      </c>
      <c r="H23" s="4" t="str">
        <f t="shared" si="3"/>
        <v>High Discount</v>
      </c>
      <c r="I23" s="4" t="str" cm="1">
        <f t="array" ref="I23">_xlfn.IFS(G23&lt;0.2,"Low Discount",G23&lt;=0.4,"Medium Discount",G23&gt;0.4,"High Discount")</f>
        <v>High Discount</v>
      </c>
      <c r="J23" s="11" t="s">
        <v>325</v>
      </c>
      <c r="K23" t="str">
        <f t="shared" si="4"/>
        <v>Not Provided</v>
      </c>
      <c r="L23" s="11" t="s">
        <v>325</v>
      </c>
      <c r="M23" s="5" t="str">
        <f t="shared" si="5"/>
        <v>Not Provided</v>
      </c>
      <c r="N23" t="str">
        <f t="shared" si="6"/>
        <v>Not Provided</v>
      </c>
      <c r="O23" t="str" cm="1">
        <f t="array" ref="O23">_xlfn.IFS(M23="Not Provided","Not Provided",M23&lt;3,"Poor",M23&lt;=4.4,"Average",M23&gt;=4.5,"Excellent")</f>
        <v>Not Provided</v>
      </c>
    </row>
    <row r="24" spans="1:15" x14ac:dyDescent="0.25">
      <c r="A24" t="s">
        <v>78</v>
      </c>
      <c r="B24" s="11" t="s">
        <v>79</v>
      </c>
      <c r="C24" s="3">
        <f t="shared" si="0"/>
        <v>880</v>
      </c>
      <c r="D24" s="11" t="s">
        <v>80</v>
      </c>
      <c r="E24" s="3">
        <f t="shared" si="7"/>
        <v>1350</v>
      </c>
      <c r="F24" s="3">
        <f t="shared" si="1"/>
        <v>470</v>
      </c>
      <c r="G24" s="4">
        <f t="shared" si="2"/>
        <v>0.34814814814814815</v>
      </c>
      <c r="H24" s="4" t="str">
        <f t="shared" si="3"/>
        <v>Medium Discount</v>
      </c>
      <c r="I24" s="4" t="str" cm="1">
        <f t="array" ref="I24">_xlfn.IFS(G24&lt;0.2,"Low Discount",G24&lt;=0.4,"Medium Discount",G24&gt;0.4,"High Discount")</f>
        <v>Medium Discount</v>
      </c>
      <c r="J24" s="11">
        <v>-6</v>
      </c>
      <c r="K24">
        <f t="shared" si="4"/>
        <v>6</v>
      </c>
      <c r="L24" s="11" t="s">
        <v>29</v>
      </c>
      <c r="M24" s="5">
        <f t="shared" si="5"/>
        <v>4</v>
      </c>
      <c r="N24" t="str">
        <f t="shared" si="6"/>
        <v>Average</v>
      </c>
      <c r="O24" t="str" cm="1">
        <f t="array" ref="O24">_xlfn.IFS(M24="Not Provided","Not Provided",M24&lt;3,"Poor",M24&lt;=4.4,"Average",M24&gt;=4.5,"Excellent")</f>
        <v>Average</v>
      </c>
    </row>
    <row r="25" spans="1:15" x14ac:dyDescent="0.25">
      <c r="A25" t="s">
        <v>81</v>
      </c>
      <c r="B25" s="11" t="s">
        <v>82</v>
      </c>
      <c r="C25" s="3">
        <f t="shared" si="0"/>
        <v>1650</v>
      </c>
      <c r="D25" s="11" t="s">
        <v>83</v>
      </c>
      <c r="E25" s="3">
        <f t="shared" si="7"/>
        <v>2150</v>
      </c>
      <c r="F25" s="3">
        <f t="shared" si="1"/>
        <v>500</v>
      </c>
      <c r="G25" s="4">
        <f t="shared" si="2"/>
        <v>0.23255813953488372</v>
      </c>
      <c r="H25" s="4" t="str">
        <f t="shared" si="3"/>
        <v>Medium Discount</v>
      </c>
      <c r="I25" s="4" t="str" cm="1">
        <f t="array" ref="I25">_xlfn.IFS(G25&lt;0.2,"Low Discount",G25&lt;=0.4,"Medium Discount",G25&gt;0.4,"High Discount")</f>
        <v>Medium Discount</v>
      </c>
      <c r="J25" s="11">
        <v>-14</v>
      </c>
      <c r="K25">
        <f t="shared" si="4"/>
        <v>14</v>
      </c>
      <c r="L25" s="11" t="s">
        <v>84</v>
      </c>
      <c r="M25" s="5">
        <f t="shared" si="5"/>
        <v>4.4000000000000004</v>
      </c>
      <c r="N25" t="str">
        <f t="shared" si="6"/>
        <v>Average</v>
      </c>
      <c r="O25" t="str" cm="1">
        <f t="array" ref="O25">_xlfn.IFS(M25="Not Provided","Not Provided",M25&lt;3,"Poor",M25&lt;=4.4,"Average",M25&gt;=4.5,"Excellent")</f>
        <v>Average</v>
      </c>
    </row>
    <row r="26" spans="1:15" x14ac:dyDescent="0.25">
      <c r="A26" t="s">
        <v>85</v>
      </c>
      <c r="B26" s="11" t="s">
        <v>86</v>
      </c>
      <c r="C26" s="3">
        <f t="shared" si="0"/>
        <v>2048</v>
      </c>
      <c r="D26" s="11" t="s">
        <v>87</v>
      </c>
      <c r="E26" s="3">
        <f t="shared" si="7"/>
        <v>4500</v>
      </c>
      <c r="F26" s="3">
        <f t="shared" si="1"/>
        <v>2452</v>
      </c>
      <c r="G26" s="4">
        <f t="shared" si="2"/>
        <v>0.54488888888888887</v>
      </c>
      <c r="H26" s="4" t="str">
        <f t="shared" si="3"/>
        <v>High Discount</v>
      </c>
      <c r="I26" s="4" t="str" cm="1">
        <f t="array" ref="I26">_xlfn.IFS(G26&lt;0.2,"Low Discount",G26&lt;=0.4,"Medium Discount",G26&gt;0.4,"High Discount")</f>
        <v>High Discount</v>
      </c>
      <c r="J26" s="11">
        <v>-7</v>
      </c>
      <c r="K26">
        <f t="shared" si="4"/>
        <v>7</v>
      </c>
      <c r="L26" s="11" t="s">
        <v>88</v>
      </c>
      <c r="M26" s="5">
        <f t="shared" si="5"/>
        <v>4.3</v>
      </c>
      <c r="N26" t="str">
        <f t="shared" si="6"/>
        <v>Average</v>
      </c>
      <c r="O26" t="str" cm="1">
        <f t="array" ref="O26">_xlfn.IFS(M26="Not Provided","Not Provided",M26&lt;3,"Poor",M26&lt;=4.4,"Average",M26&gt;=4.5,"Excellent")</f>
        <v>Average</v>
      </c>
    </row>
    <row r="27" spans="1:15" x14ac:dyDescent="0.25">
      <c r="A27" t="s">
        <v>89</v>
      </c>
      <c r="B27" s="11" t="s">
        <v>90</v>
      </c>
      <c r="C27" s="3">
        <f t="shared" si="0"/>
        <v>420</v>
      </c>
      <c r="D27" s="11" t="s">
        <v>91</v>
      </c>
      <c r="E27" s="3">
        <f t="shared" si="7"/>
        <v>647</v>
      </c>
      <c r="F27" s="3">
        <f t="shared" si="1"/>
        <v>227</v>
      </c>
      <c r="G27" s="4">
        <f t="shared" si="2"/>
        <v>0.3508500772797527</v>
      </c>
      <c r="H27" s="4" t="str">
        <f t="shared" si="3"/>
        <v>Medium Discount</v>
      </c>
      <c r="I27" s="4" t="str" cm="1">
        <f t="array" ref="I27">_xlfn.IFS(G27&lt;0.2,"Low Discount",G27&lt;=0.4,"Medium Discount",G27&gt;0.4,"High Discount")</f>
        <v>Medium Discount</v>
      </c>
      <c r="J27" s="11">
        <v>-49</v>
      </c>
      <c r="K27">
        <f t="shared" si="4"/>
        <v>49</v>
      </c>
      <c r="L27" s="11" t="s">
        <v>17</v>
      </c>
      <c r="M27" s="5">
        <f t="shared" si="5"/>
        <v>4.5999999999999996</v>
      </c>
      <c r="N27" t="str">
        <f t="shared" si="6"/>
        <v>Excellent</v>
      </c>
      <c r="O27" t="str" cm="1">
        <f t="array" ref="O27">_xlfn.IFS(M27="Not Provided","Not Provided",M27&lt;3,"Poor",M27&lt;=4.4,"Average",M27&gt;=4.5,"Excellent")</f>
        <v>Excellent</v>
      </c>
    </row>
    <row r="28" spans="1:15" x14ac:dyDescent="0.25">
      <c r="A28" t="s">
        <v>92</v>
      </c>
      <c r="B28" s="11" t="s">
        <v>93</v>
      </c>
      <c r="C28" s="3">
        <f t="shared" si="0"/>
        <v>2880</v>
      </c>
      <c r="D28" s="11" t="s">
        <v>94</v>
      </c>
      <c r="E28" s="3">
        <f t="shared" si="7"/>
        <v>3520</v>
      </c>
      <c r="F28" s="3">
        <f t="shared" si="1"/>
        <v>640</v>
      </c>
      <c r="G28" s="4">
        <f t="shared" si="2"/>
        <v>0.18181818181818182</v>
      </c>
      <c r="H28" s="4" t="str">
        <f t="shared" si="3"/>
        <v>Low Discount</v>
      </c>
      <c r="I28" s="4" t="str" cm="1">
        <f t="array" ref="I28">_xlfn.IFS(G28&lt;0.2,"Low Discount",G28&lt;=0.4,"Medium Discount",G28&gt;0.4,"High Discount")</f>
        <v>Low Discount</v>
      </c>
      <c r="J28" s="11">
        <v>-12</v>
      </c>
      <c r="K28">
        <f t="shared" si="4"/>
        <v>12</v>
      </c>
      <c r="L28" s="11" t="s">
        <v>41</v>
      </c>
      <c r="M28" s="5">
        <f t="shared" si="5"/>
        <v>3.8</v>
      </c>
      <c r="N28" t="str">
        <f t="shared" si="6"/>
        <v>Average</v>
      </c>
      <c r="O28" t="str" cm="1">
        <f t="array" ref="O28">_xlfn.IFS(M28="Not Provided","Not Provided",M28&lt;3,"Poor",M28&lt;=4.4,"Average",M28&gt;=4.5,"Excellent")</f>
        <v>Average</v>
      </c>
    </row>
    <row r="29" spans="1:15" x14ac:dyDescent="0.25">
      <c r="A29" t="s">
        <v>95</v>
      </c>
      <c r="B29" s="11" t="s">
        <v>80</v>
      </c>
      <c r="C29" s="3">
        <f t="shared" si="0"/>
        <v>1350</v>
      </c>
      <c r="D29" s="11" t="s">
        <v>96</v>
      </c>
      <c r="E29" s="3">
        <f t="shared" si="7"/>
        <v>1990</v>
      </c>
      <c r="F29" s="3">
        <f t="shared" si="1"/>
        <v>640</v>
      </c>
      <c r="G29" s="4">
        <f t="shared" si="2"/>
        <v>0.32160804020100503</v>
      </c>
      <c r="H29" s="4" t="str">
        <f t="shared" si="3"/>
        <v>Medium Discount</v>
      </c>
      <c r="I29" s="4" t="str" cm="1">
        <f t="array" ref="I29">_xlfn.IFS(G29&lt;0.2,"Low Discount",G29&lt;=0.4,"Medium Discount",G29&gt;0.4,"High Discount")</f>
        <v>Medium Discount</v>
      </c>
      <c r="J29" s="11">
        <v>-13</v>
      </c>
      <c r="K29">
        <f t="shared" si="4"/>
        <v>13</v>
      </c>
      <c r="L29" s="11" t="s">
        <v>41</v>
      </c>
      <c r="M29" s="5">
        <f t="shared" si="5"/>
        <v>3.8</v>
      </c>
      <c r="N29" t="str">
        <f t="shared" si="6"/>
        <v>Average</v>
      </c>
      <c r="O29" t="str" cm="1">
        <f t="array" ref="O29">_xlfn.IFS(M29="Not Provided","Not Provided",M29&lt;3,"Poor",M29&lt;=4.4,"Average",M29&gt;=4.5,"Excellent")</f>
        <v>Average</v>
      </c>
    </row>
    <row r="30" spans="1:15" x14ac:dyDescent="0.25">
      <c r="A30" t="s">
        <v>97</v>
      </c>
      <c r="B30" s="11" t="s">
        <v>98</v>
      </c>
      <c r="C30" s="3">
        <f t="shared" si="0"/>
        <v>1758</v>
      </c>
      <c r="D30" s="11" t="s">
        <v>20</v>
      </c>
      <c r="E30" s="3">
        <f t="shared" si="7"/>
        <v>2499</v>
      </c>
      <c r="F30" s="3">
        <f t="shared" si="1"/>
        <v>741</v>
      </c>
      <c r="G30" s="4">
        <f t="shared" si="2"/>
        <v>0.2965186074429772</v>
      </c>
      <c r="H30" s="4" t="str">
        <f t="shared" si="3"/>
        <v>Medium Discount</v>
      </c>
      <c r="I30" s="4" t="str" cm="1">
        <f t="array" ref="I30">_xlfn.IFS(G30&lt;0.2,"Low Discount",G30&lt;=0.4,"Medium Discount",G30&gt;0.4,"High Discount")</f>
        <v>Medium Discount</v>
      </c>
      <c r="J30" s="11">
        <v>-20</v>
      </c>
      <c r="K30">
        <f t="shared" si="4"/>
        <v>20</v>
      </c>
      <c r="L30" s="11" t="s">
        <v>13</v>
      </c>
      <c r="M30" s="5">
        <f t="shared" si="5"/>
        <v>4.0999999999999996</v>
      </c>
      <c r="N30" t="str">
        <f t="shared" si="6"/>
        <v>Average</v>
      </c>
      <c r="O30" t="str" cm="1">
        <f t="array" ref="O30">_xlfn.IFS(M30="Not Provided","Not Provided",M30&lt;3,"Poor",M30&lt;=4.4,"Average",M30&gt;=4.5,"Excellent")</f>
        <v>Average</v>
      </c>
    </row>
    <row r="31" spans="1:15" x14ac:dyDescent="0.25">
      <c r="A31" t="s">
        <v>99</v>
      </c>
      <c r="B31" s="11" t="s">
        <v>100</v>
      </c>
      <c r="C31" s="3">
        <f t="shared" si="0"/>
        <v>2200</v>
      </c>
      <c r="D31" s="11" t="s">
        <v>101</v>
      </c>
      <c r="E31" s="3">
        <f t="shared" si="7"/>
        <v>4080</v>
      </c>
      <c r="F31" s="3">
        <f t="shared" si="1"/>
        <v>1880</v>
      </c>
      <c r="G31" s="4">
        <f t="shared" si="2"/>
        <v>0.46078431372549017</v>
      </c>
      <c r="H31" s="4" t="str">
        <f t="shared" si="3"/>
        <v>High Discount</v>
      </c>
      <c r="I31" s="4" t="str" cm="1">
        <f t="array" ref="I31">_xlfn.IFS(G31&lt;0.2,"Low Discount",G31&lt;=0.4,"Medium Discount",G31&gt;0.4,"High Discount")</f>
        <v>High Discount</v>
      </c>
      <c r="J31" s="11" t="s">
        <v>325</v>
      </c>
      <c r="K31" t="str">
        <f t="shared" si="4"/>
        <v>Not Provided</v>
      </c>
      <c r="L31" s="11" t="s">
        <v>325</v>
      </c>
      <c r="M31" s="5" t="str">
        <f t="shared" si="5"/>
        <v>Not Provided</v>
      </c>
      <c r="N31" t="str">
        <f t="shared" si="6"/>
        <v>Not Provided</v>
      </c>
      <c r="O31" t="str" cm="1">
        <f t="array" ref="O31">_xlfn.IFS(M31="Not Provided","Not Provided",M31&lt;3,"Poor",M31&lt;=4.4,"Average",M31&gt;=4.5,"Excellent")</f>
        <v>Not Provided</v>
      </c>
    </row>
    <row r="32" spans="1:15" x14ac:dyDescent="0.25">
      <c r="A32" t="s">
        <v>102</v>
      </c>
      <c r="B32" s="11" t="s">
        <v>103</v>
      </c>
      <c r="C32" s="3">
        <f t="shared" si="0"/>
        <v>185</v>
      </c>
      <c r="D32" s="11" t="s">
        <v>104</v>
      </c>
      <c r="E32" s="3">
        <f t="shared" si="7"/>
        <v>382</v>
      </c>
      <c r="F32" s="3">
        <f t="shared" si="1"/>
        <v>197</v>
      </c>
      <c r="G32" s="4">
        <f t="shared" si="2"/>
        <v>0.51570680628272247</v>
      </c>
      <c r="H32" s="4" t="str">
        <f t="shared" si="3"/>
        <v>High Discount</v>
      </c>
      <c r="I32" s="4" t="str" cm="1">
        <f t="array" ref="I32">_xlfn.IFS(G32&lt;0.2,"Low Discount",G32&lt;=0.4,"Medium Discount",G32&gt;0.4,"High Discount")</f>
        <v>High Discount</v>
      </c>
      <c r="J32" s="11">
        <v>-9</v>
      </c>
      <c r="K32">
        <f t="shared" si="4"/>
        <v>9</v>
      </c>
      <c r="L32" s="11" t="s">
        <v>88</v>
      </c>
      <c r="M32" s="5">
        <f t="shared" si="5"/>
        <v>4.3</v>
      </c>
      <c r="N32" t="str">
        <f t="shared" si="6"/>
        <v>Average</v>
      </c>
      <c r="O32" t="str" cm="1">
        <f t="array" ref="O32">_xlfn.IFS(M32="Not Provided","Not Provided",M32&lt;3,"Poor",M32&lt;=4.4,"Average",M32&gt;=4.5,"Excellent")</f>
        <v>Average</v>
      </c>
    </row>
    <row r="33" spans="1:15" x14ac:dyDescent="0.25">
      <c r="A33" t="s">
        <v>105</v>
      </c>
      <c r="B33" s="11" t="s">
        <v>106</v>
      </c>
      <c r="C33" s="3">
        <f t="shared" si="0"/>
        <v>980</v>
      </c>
      <c r="D33" s="11" t="s">
        <v>107</v>
      </c>
      <c r="E33" s="3">
        <f t="shared" si="7"/>
        <v>1490</v>
      </c>
      <c r="F33" s="3">
        <f t="shared" si="1"/>
        <v>510</v>
      </c>
      <c r="G33" s="4">
        <f t="shared" si="2"/>
        <v>0.34228187919463088</v>
      </c>
      <c r="H33" s="4" t="str">
        <f t="shared" si="3"/>
        <v>Medium Discount</v>
      </c>
      <c r="I33" s="4" t="str" cm="1">
        <f t="array" ref="I33">_xlfn.IFS(G33&lt;0.2,"Low Discount",G33&lt;=0.4,"Medium Discount",G33&gt;0.4,"High Discount")</f>
        <v>Medium Discount</v>
      </c>
      <c r="J33" s="11">
        <v>-12</v>
      </c>
      <c r="K33">
        <f t="shared" si="4"/>
        <v>12</v>
      </c>
      <c r="L33" s="11" t="s">
        <v>21</v>
      </c>
      <c r="M33" s="5">
        <f t="shared" si="5"/>
        <v>4.7</v>
      </c>
      <c r="N33" t="str">
        <f t="shared" si="6"/>
        <v>Excellent</v>
      </c>
      <c r="O33" t="str" cm="1">
        <f t="array" ref="O33">_xlfn.IFS(M33="Not Provided","Not Provided",M33&lt;3,"Poor",M33&lt;=4.4,"Average",M33&gt;=4.5,"Excellent")</f>
        <v>Excellent</v>
      </c>
    </row>
    <row r="34" spans="1:15" x14ac:dyDescent="0.25">
      <c r="A34" t="s">
        <v>108</v>
      </c>
      <c r="B34" s="11" t="s">
        <v>109</v>
      </c>
      <c r="C34" s="3">
        <f t="shared" ref="C34:C65" si="8">IFERROR(VALUE(SUBSTITUTE(SUBSTITUTE(TRIM(B34),"KSh",""),",","")),0)</f>
        <v>1820</v>
      </c>
      <c r="D34" s="11" t="s">
        <v>110</v>
      </c>
      <c r="E34" s="3">
        <f t="shared" si="7"/>
        <v>3490</v>
      </c>
      <c r="F34" s="3">
        <f t="shared" si="1"/>
        <v>1670</v>
      </c>
      <c r="G34" s="4">
        <f t="shared" si="2"/>
        <v>0.47851002865329512</v>
      </c>
      <c r="H34" s="4" t="str">
        <f t="shared" si="3"/>
        <v>High Discount</v>
      </c>
      <c r="I34" s="4" t="str" cm="1">
        <f t="array" ref="I34">_xlfn.IFS(G34&lt;0.2,"Low Discount",G34&lt;=0.4,"Medium Discount",G34&gt;0.4,"High Discount")</f>
        <v>High Discount</v>
      </c>
      <c r="J34" s="11">
        <v>-9</v>
      </c>
      <c r="K34">
        <f t="shared" si="4"/>
        <v>9</v>
      </c>
      <c r="L34" s="11" t="s">
        <v>88</v>
      </c>
      <c r="M34" s="5">
        <f t="shared" si="5"/>
        <v>4.3</v>
      </c>
      <c r="N34" t="str">
        <f t="shared" si="6"/>
        <v>Average</v>
      </c>
      <c r="O34" t="str" cm="1">
        <f t="array" ref="O34">_xlfn.IFS(M34="Not Provided","Not Provided",M34&lt;3,"Poor",M34&lt;=4.4,"Average",M34&gt;=4.5,"Excellent")</f>
        <v>Average</v>
      </c>
    </row>
    <row r="35" spans="1:15" x14ac:dyDescent="0.25">
      <c r="A35" t="s">
        <v>111</v>
      </c>
      <c r="B35" s="11" t="s">
        <v>112</v>
      </c>
      <c r="C35" s="3">
        <f t="shared" si="8"/>
        <v>1940</v>
      </c>
      <c r="D35" s="11" t="s">
        <v>113</v>
      </c>
      <c r="E35" s="3">
        <f t="shared" si="7"/>
        <v>2650</v>
      </c>
      <c r="F35" s="3">
        <f t="shared" si="1"/>
        <v>710</v>
      </c>
      <c r="G35" s="4">
        <f t="shared" si="2"/>
        <v>0.26792452830188679</v>
      </c>
      <c r="H35" s="4" t="str">
        <f t="shared" si="3"/>
        <v>Medium Discount</v>
      </c>
      <c r="I35" s="4" t="str" cm="1">
        <f t="array" ref="I35">_xlfn.IFS(G35&lt;0.2,"Low Discount",G35&lt;=0.4,"Medium Discount",G35&gt;0.4,"High Discount")</f>
        <v>Medium Discount</v>
      </c>
      <c r="J35" s="11">
        <v>-20</v>
      </c>
      <c r="K35">
        <f t="shared" si="4"/>
        <v>20</v>
      </c>
      <c r="L35" s="11" t="s">
        <v>21</v>
      </c>
      <c r="M35" s="5">
        <f t="shared" si="5"/>
        <v>4.7</v>
      </c>
      <c r="N35" t="str">
        <f t="shared" si="6"/>
        <v>Excellent</v>
      </c>
      <c r="O35" t="str" cm="1">
        <f t="array" ref="O35">_xlfn.IFS(M35="Not Provided","Not Provided",M35&lt;3,"Poor",M35&lt;=4.4,"Average",M35&gt;=4.5,"Excellent")</f>
        <v>Excellent</v>
      </c>
    </row>
    <row r="36" spans="1:15" x14ac:dyDescent="0.25">
      <c r="A36" t="s">
        <v>114</v>
      </c>
      <c r="B36" s="11" t="s">
        <v>115</v>
      </c>
      <c r="C36" s="3">
        <f t="shared" si="8"/>
        <v>1980</v>
      </c>
      <c r="D36" s="11" t="s">
        <v>116</v>
      </c>
      <c r="E36" s="3">
        <f t="shared" si="7"/>
        <v>2699</v>
      </c>
      <c r="F36" s="3">
        <f t="shared" si="1"/>
        <v>719</v>
      </c>
      <c r="G36" s="4">
        <f t="shared" si="2"/>
        <v>0.26639496109670247</v>
      </c>
      <c r="H36" s="4" t="str">
        <f t="shared" si="3"/>
        <v>Medium Discount</v>
      </c>
      <c r="I36" s="4" t="str" cm="1">
        <f t="array" ref="I36">_xlfn.IFS(G36&lt;0.2,"Low Discount",G36&lt;=0.4,"Medium Discount",G36&gt;0.4,"High Discount")</f>
        <v>Medium Discount</v>
      </c>
      <c r="J36" s="11">
        <v>-32</v>
      </c>
      <c r="K36">
        <f t="shared" si="4"/>
        <v>32</v>
      </c>
      <c r="L36" s="11" t="s">
        <v>9</v>
      </c>
      <c r="M36" s="5">
        <f t="shared" si="5"/>
        <v>4.5</v>
      </c>
      <c r="N36" t="str">
        <f t="shared" si="6"/>
        <v>Excellent</v>
      </c>
      <c r="O36" t="str" cm="1">
        <f t="array" ref="O36">_xlfn.IFS(M36="Not Provided","Not Provided",M36&lt;3,"Poor",M36&lt;=4.4,"Average",M36&gt;=4.5,"Excellent")</f>
        <v>Excellent</v>
      </c>
    </row>
    <row r="37" spans="1:15" x14ac:dyDescent="0.25">
      <c r="A37" t="s">
        <v>117</v>
      </c>
      <c r="B37" s="11" t="s">
        <v>118</v>
      </c>
      <c r="C37" s="3">
        <f t="shared" si="8"/>
        <v>1620</v>
      </c>
      <c r="D37" s="11" t="s">
        <v>119</v>
      </c>
      <c r="E37" s="3">
        <f t="shared" si="7"/>
        <v>2690</v>
      </c>
      <c r="F37" s="3">
        <f t="shared" si="1"/>
        <v>1070</v>
      </c>
      <c r="G37" s="4">
        <f t="shared" si="2"/>
        <v>0.39776951672862454</v>
      </c>
      <c r="H37" s="4" t="str">
        <f t="shared" si="3"/>
        <v>Medium Discount</v>
      </c>
      <c r="I37" s="4" t="str" cm="1">
        <f t="array" ref="I37">_xlfn.IFS(G37&lt;0.2,"Low Discount",G37&lt;=0.4,"Medium Discount",G37&gt;0.4,"High Discount")</f>
        <v>Medium Discount</v>
      </c>
      <c r="J37" s="11">
        <v>-1</v>
      </c>
      <c r="K37">
        <f t="shared" si="4"/>
        <v>1</v>
      </c>
      <c r="L37" s="11" t="s">
        <v>59</v>
      </c>
      <c r="M37" s="5">
        <f t="shared" si="5"/>
        <v>5</v>
      </c>
      <c r="N37" t="str">
        <f t="shared" si="6"/>
        <v>Excellent</v>
      </c>
      <c r="O37" t="str" cm="1">
        <f t="array" ref="O37">_xlfn.IFS(M37="Not Provided","Not Provided",M37&lt;3,"Poor",M37&lt;=4.4,"Average",M37&gt;=4.5,"Excellent")</f>
        <v>Excellent</v>
      </c>
    </row>
    <row r="38" spans="1:15" x14ac:dyDescent="0.25">
      <c r="A38" t="s">
        <v>120</v>
      </c>
      <c r="B38" s="11" t="s">
        <v>121</v>
      </c>
      <c r="C38" s="3">
        <f t="shared" si="8"/>
        <v>171</v>
      </c>
      <c r="D38" s="11" t="s">
        <v>62</v>
      </c>
      <c r="E38" s="3">
        <f t="shared" si="7"/>
        <v>360</v>
      </c>
      <c r="F38" s="3">
        <f t="shared" si="1"/>
        <v>189</v>
      </c>
      <c r="G38" s="4">
        <f t="shared" si="2"/>
        <v>0.52500000000000002</v>
      </c>
      <c r="H38" s="4" t="str">
        <f t="shared" si="3"/>
        <v>High Discount</v>
      </c>
      <c r="I38" s="4" t="str" cm="1">
        <f t="array" ref="I38">_xlfn.IFS(G38&lt;0.2,"Low Discount",G38&lt;=0.4,"Medium Discount",G38&gt;0.4,"High Discount")</f>
        <v>High Discount</v>
      </c>
      <c r="J38" s="11">
        <v>-2</v>
      </c>
      <c r="K38">
        <f t="shared" si="4"/>
        <v>2</v>
      </c>
      <c r="L38" s="11" t="s">
        <v>59</v>
      </c>
      <c r="M38" s="5">
        <f t="shared" si="5"/>
        <v>5</v>
      </c>
      <c r="N38" t="str">
        <f t="shared" si="6"/>
        <v>Excellent</v>
      </c>
      <c r="O38" t="str" cm="1">
        <f t="array" ref="O38">_xlfn.IFS(M38="Not Provided","Not Provided",M38&lt;3,"Poor",M38&lt;=4.4,"Average",M38&gt;=4.5,"Excellent")</f>
        <v>Excellent</v>
      </c>
    </row>
    <row r="39" spans="1:15" x14ac:dyDescent="0.25">
      <c r="A39" t="s">
        <v>122</v>
      </c>
      <c r="B39" s="11" t="s">
        <v>123</v>
      </c>
      <c r="C39" s="3">
        <f t="shared" si="8"/>
        <v>389</v>
      </c>
      <c r="D39" s="11" t="s">
        <v>124</v>
      </c>
      <c r="E39" s="3">
        <f t="shared" si="7"/>
        <v>656</v>
      </c>
      <c r="F39" s="3">
        <f t="shared" si="1"/>
        <v>267</v>
      </c>
      <c r="G39" s="4">
        <f t="shared" si="2"/>
        <v>0.40701219512195119</v>
      </c>
      <c r="H39" s="4" t="str">
        <f t="shared" si="3"/>
        <v>High Discount</v>
      </c>
      <c r="I39" s="4" t="str" cm="1">
        <f t="array" ref="I39">_xlfn.IFS(G39&lt;0.2,"Low Discount",G39&lt;=0.4,"Medium Discount",G39&gt;0.4,"High Discount")</f>
        <v>High Discount</v>
      </c>
      <c r="J39" s="11">
        <v>-36</v>
      </c>
      <c r="K39">
        <f t="shared" si="4"/>
        <v>36</v>
      </c>
      <c r="L39" s="11" t="s">
        <v>88</v>
      </c>
      <c r="M39" s="5">
        <f t="shared" si="5"/>
        <v>4.3</v>
      </c>
      <c r="N39" t="str">
        <f t="shared" si="6"/>
        <v>Average</v>
      </c>
      <c r="O39" t="str" cm="1">
        <f t="array" ref="O39">_xlfn.IFS(M39="Not Provided","Not Provided",M39&lt;3,"Poor",M39&lt;=4.4,"Average",M39&gt;=4.5,"Excellent")</f>
        <v>Average</v>
      </c>
    </row>
    <row r="40" spans="1:15" x14ac:dyDescent="0.25">
      <c r="A40" t="s">
        <v>125</v>
      </c>
      <c r="B40" s="11" t="s">
        <v>323</v>
      </c>
      <c r="C40" s="3">
        <f t="shared" si="8"/>
        <v>1800</v>
      </c>
      <c r="D40" s="11" t="s">
        <v>324</v>
      </c>
      <c r="E40" s="3">
        <f t="shared" si="7"/>
        <v>2700</v>
      </c>
      <c r="F40" s="3">
        <f t="shared" si="1"/>
        <v>900</v>
      </c>
      <c r="G40" s="4">
        <f t="shared" si="2"/>
        <v>0.33333333333333331</v>
      </c>
      <c r="H40" s="4" t="str">
        <f t="shared" si="3"/>
        <v>Medium Discount</v>
      </c>
      <c r="I40" s="4" t="str" cm="1">
        <f t="array" ref="I40">_xlfn.IFS(G40&lt;0.2,"Low Discount",G40&lt;=0.4,"Medium Discount",G40&gt;0.4,"High Discount")</f>
        <v>Medium Discount</v>
      </c>
      <c r="J40" s="11">
        <v>-2</v>
      </c>
      <c r="K40">
        <f t="shared" si="4"/>
        <v>2</v>
      </c>
      <c r="L40" s="11" t="s">
        <v>9</v>
      </c>
      <c r="M40" s="5">
        <f t="shared" si="5"/>
        <v>4.5</v>
      </c>
      <c r="N40" t="str">
        <f t="shared" si="6"/>
        <v>Excellent</v>
      </c>
      <c r="O40" t="str" cm="1">
        <f t="array" ref="O40">_xlfn.IFS(M40="Not Provided","Not Provided",M40&lt;3,"Poor",M40&lt;=4.4,"Average",M40&gt;=4.5,"Excellent")</f>
        <v>Excellent</v>
      </c>
    </row>
    <row r="41" spans="1:15" x14ac:dyDescent="0.25">
      <c r="A41" t="s">
        <v>128</v>
      </c>
      <c r="B41" s="11" t="s">
        <v>129</v>
      </c>
      <c r="C41" s="3">
        <f t="shared" si="8"/>
        <v>2750</v>
      </c>
      <c r="D41" s="11" t="s">
        <v>130</v>
      </c>
      <c r="E41" s="3">
        <f t="shared" si="7"/>
        <v>4471</v>
      </c>
      <c r="F41" s="3">
        <f t="shared" si="1"/>
        <v>1721</v>
      </c>
      <c r="G41" s="4">
        <f t="shared" si="2"/>
        <v>0.38492507269067322</v>
      </c>
      <c r="H41" s="4" t="str">
        <f t="shared" si="3"/>
        <v>Medium Discount</v>
      </c>
      <c r="I41" s="4" t="str" cm="1">
        <f t="array" ref="I41">_xlfn.IFS(G41&lt;0.2,"Low Discount",G41&lt;=0.4,"Medium Discount",G41&gt;0.4,"High Discount")</f>
        <v>Medium Discount</v>
      </c>
      <c r="J41" s="11" t="s">
        <v>325</v>
      </c>
      <c r="K41" t="str">
        <f t="shared" si="4"/>
        <v>Not Provided</v>
      </c>
      <c r="L41" s="11" t="s">
        <v>325</v>
      </c>
      <c r="M41" s="5" t="str">
        <f t="shared" si="5"/>
        <v>Not Provided</v>
      </c>
      <c r="N41" t="str">
        <f t="shared" si="6"/>
        <v>Not Provided</v>
      </c>
      <c r="O41" t="str" cm="1">
        <f t="array" ref="O41">_xlfn.IFS(M41="Not Provided","Not Provided",M41&lt;3,"Poor",M41&lt;=4.4,"Average",M41&gt;=4.5,"Excellent")</f>
        <v>Not Provided</v>
      </c>
    </row>
    <row r="42" spans="1:15" x14ac:dyDescent="0.25">
      <c r="A42" t="s">
        <v>131</v>
      </c>
      <c r="B42" s="11" t="s">
        <v>132</v>
      </c>
      <c r="C42" s="3">
        <f t="shared" si="8"/>
        <v>475</v>
      </c>
      <c r="D42" s="11" t="s">
        <v>133</v>
      </c>
      <c r="E42" s="3">
        <f t="shared" si="7"/>
        <v>931</v>
      </c>
      <c r="F42" s="3">
        <f t="shared" si="1"/>
        <v>456</v>
      </c>
      <c r="G42" s="4">
        <f t="shared" si="2"/>
        <v>0.48979591836734693</v>
      </c>
      <c r="H42" s="4" t="str">
        <f t="shared" si="3"/>
        <v>High Discount</v>
      </c>
      <c r="I42" s="4" t="str" cm="1">
        <f t="array" ref="I42">_xlfn.IFS(G42&lt;0.2,"Low Discount",G42&lt;=0.4,"Medium Discount",G42&gt;0.4,"High Discount")</f>
        <v>High Discount</v>
      </c>
      <c r="J42" s="11" t="s">
        <v>325</v>
      </c>
      <c r="K42" t="str">
        <f t="shared" si="4"/>
        <v>Not Provided</v>
      </c>
      <c r="L42" s="11" t="s">
        <v>325</v>
      </c>
      <c r="M42" s="5" t="str">
        <f t="shared" si="5"/>
        <v>Not Provided</v>
      </c>
      <c r="N42" t="str">
        <f t="shared" si="6"/>
        <v>Not Provided</v>
      </c>
      <c r="O42" t="str" cm="1">
        <f t="array" ref="O42">_xlfn.IFS(M42="Not Provided","Not Provided",M42&lt;3,"Poor",M42&lt;=4.4,"Average",M42&gt;=4.5,"Excellent")</f>
        <v>Not Provided</v>
      </c>
    </row>
    <row r="43" spans="1:15" x14ac:dyDescent="0.25">
      <c r="A43" t="s">
        <v>134</v>
      </c>
      <c r="B43" s="11" t="s">
        <v>135</v>
      </c>
      <c r="C43" s="3">
        <f t="shared" si="8"/>
        <v>238</v>
      </c>
      <c r="D43" s="11" t="s">
        <v>136</v>
      </c>
      <c r="E43" s="3">
        <f t="shared" si="7"/>
        <v>476</v>
      </c>
      <c r="F43" s="3">
        <f t="shared" si="1"/>
        <v>238</v>
      </c>
      <c r="G43" s="4">
        <f t="shared" si="2"/>
        <v>0.5</v>
      </c>
      <c r="H43" s="4" t="str">
        <f t="shared" si="3"/>
        <v>High Discount</v>
      </c>
      <c r="I43" s="4" t="str" cm="1">
        <f t="array" ref="I43">_xlfn.IFS(G43&lt;0.2,"Low Discount",G43&lt;=0.4,"Medium Discount",G43&gt;0.4,"High Discount")</f>
        <v>High Discount</v>
      </c>
      <c r="J43" s="11" t="s">
        <v>325</v>
      </c>
      <c r="K43" t="str">
        <f t="shared" si="4"/>
        <v>Not Provided</v>
      </c>
      <c r="L43" s="11" t="s">
        <v>325</v>
      </c>
      <c r="M43" s="5" t="str">
        <f t="shared" si="5"/>
        <v>Not Provided</v>
      </c>
      <c r="N43" t="str">
        <f t="shared" si="6"/>
        <v>Not Provided</v>
      </c>
      <c r="O43" t="str" cm="1">
        <f t="array" ref="O43">_xlfn.IFS(M43="Not Provided","Not Provided",M43&lt;3,"Poor",M43&lt;=4.4,"Average",M43&gt;=4.5,"Excellent")</f>
        <v>Not Provided</v>
      </c>
    </row>
    <row r="44" spans="1:15" x14ac:dyDescent="0.25">
      <c r="A44" t="s">
        <v>137</v>
      </c>
      <c r="B44" s="11" t="s">
        <v>138</v>
      </c>
      <c r="C44" s="3">
        <f t="shared" si="8"/>
        <v>610</v>
      </c>
      <c r="D44" s="11" t="s">
        <v>139</v>
      </c>
      <c r="E44" s="3">
        <f t="shared" si="7"/>
        <v>1060</v>
      </c>
      <c r="F44" s="3">
        <f t="shared" si="1"/>
        <v>450</v>
      </c>
      <c r="G44" s="4">
        <f t="shared" si="2"/>
        <v>0.42452830188679247</v>
      </c>
      <c r="H44" s="4" t="str">
        <f t="shared" si="3"/>
        <v>High Discount</v>
      </c>
      <c r="I44" s="4" t="str" cm="1">
        <f t="array" ref="I44">_xlfn.IFS(G44&lt;0.2,"Low Discount",G44&lt;=0.4,"Medium Discount",G44&gt;0.4,"High Discount")</f>
        <v>High Discount</v>
      </c>
      <c r="J44" s="11" t="s">
        <v>325</v>
      </c>
      <c r="K44" t="str">
        <f t="shared" si="4"/>
        <v>Not Provided</v>
      </c>
      <c r="L44" s="11" t="s">
        <v>325</v>
      </c>
      <c r="M44" s="5" t="str">
        <f t="shared" si="5"/>
        <v>Not Provided</v>
      </c>
      <c r="N44" t="str">
        <f t="shared" si="6"/>
        <v>Not Provided</v>
      </c>
      <c r="O44" t="str" cm="1">
        <f t="array" ref="O44">_xlfn.IFS(M44="Not Provided","Not Provided",M44&lt;3,"Poor",M44&lt;=4.4,"Average",M44&gt;=4.5,"Excellent")</f>
        <v>Not Provided</v>
      </c>
    </row>
    <row r="45" spans="1:15" x14ac:dyDescent="0.25">
      <c r="A45" t="s">
        <v>140</v>
      </c>
      <c r="B45" s="11" t="s">
        <v>141</v>
      </c>
      <c r="C45" s="3">
        <f t="shared" si="8"/>
        <v>2132</v>
      </c>
      <c r="D45" s="11" t="s">
        <v>142</v>
      </c>
      <c r="E45" s="3">
        <f t="shared" si="7"/>
        <v>2169</v>
      </c>
      <c r="F45" s="3">
        <f t="shared" si="1"/>
        <v>37</v>
      </c>
      <c r="G45" s="4">
        <f t="shared" si="2"/>
        <v>1.705855232826187E-2</v>
      </c>
      <c r="H45" s="4" t="str">
        <f t="shared" si="3"/>
        <v>Low Discount</v>
      </c>
      <c r="I45" s="4" t="str" cm="1">
        <f t="array" ref="I45">_xlfn.IFS(G45&lt;0.2,"Low Discount",G45&lt;=0.4,"Medium Discount",G45&gt;0.4,"High Discount")</f>
        <v>Low Discount</v>
      </c>
      <c r="J45" s="11" t="s">
        <v>325</v>
      </c>
      <c r="K45" t="str">
        <f t="shared" si="4"/>
        <v>Not Provided</v>
      </c>
      <c r="L45" s="11" t="s">
        <v>325</v>
      </c>
      <c r="M45" s="5" t="str">
        <f t="shared" si="5"/>
        <v>Not Provided</v>
      </c>
      <c r="N45" t="str">
        <f t="shared" si="6"/>
        <v>Not Provided</v>
      </c>
      <c r="O45" t="str" cm="1">
        <f t="array" ref="O45">_xlfn.IFS(M45="Not Provided","Not Provided",M45&lt;3,"Poor",M45&lt;=4.4,"Average",M45&gt;=4.5,"Excellent")</f>
        <v>Not Provided</v>
      </c>
    </row>
    <row r="46" spans="1:15" x14ac:dyDescent="0.25">
      <c r="A46" t="s">
        <v>143</v>
      </c>
      <c r="B46" s="11" t="s">
        <v>12</v>
      </c>
      <c r="C46" s="3">
        <f t="shared" si="8"/>
        <v>999</v>
      </c>
      <c r="D46" s="11" t="s">
        <v>144</v>
      </c>
      <c r="E46" s="3">
        <f t="shared" si="7"/>
        <v>2000</v>
      </c>
      <c r="F46" s="3">
        <f t="shared" si="1"/>
        <v>1001</v>
      </c>
      <c r="G46" s="4">
        <f t="shared" si="2"/>
        <v>0.50049999999999994</v>
      </c>
      <c r="H46" s="4" t="str">
        <f t="shared" si="3"/>
        <v>High Discount</v>
      </c>
      <c r="I46" s="4" t="str" cm="1">
        <f t="array" ref="I46">_xlfn.IFS(G46&lt;0.2,"Low Discount",G46&lt;=0.4,"Medium Discount",G46&gt;0.4,"High Discount")</f>
        <v>High Discount</v>
      </c>
      <c r="J46" s="11" t="s">
        <v>325</v>
      </c>
      <c r="K46" t="str">
        <f t="shared" si="4"/>
        <v>Not Provided</v>
      </c>
      <c r="L46" s="11" t="s">
        <v>325</v>
      </c>
      <c r="M46" s="5" t="str">
        <f t="shared" si="5"/>
        <v>Not Provided</v>
      </c>
      <c r="N46" t="str">
        <f t="shared" si="6"/>
        <v>Not Provided</v>
      </c>
      <c r="O46" t="str" cm="1">
        <f t="array" ref="O46">_xlfn.IFS(M46="Not Provided","Not Provided",M46&lt;3,"Poor",M46&lt;=4.4,"Average",M46&gt;=4.5,"Excellent")</f>
        <v>Not Provided</v>
      </c>
    </row>
    <row r="47" spans="1:15" x14ac:dyDescent="0.25">
      <c r="A47" t="s">
        <v>145</v>
      </c>
      <c r="B47" s="11" t="s">
        <v>146</v>
      </c>
      <c r="C47" s="3">
        <f t="shared" si="8"/>
        <v>1190</v>
      </c>
      <c r="D47" s="11" t="s">
        <v>147</v>
      </c>
      <c r="E47" s="3">
        <f t="shared" si="7"/>
        <v>1785</v>
      </c>
      <c r="F47" s="3">
        <f t="shared" si="1"/>
        <v>595</v>
      </c>
      <c r="G47" s="4">
        <f t="shared" si="2"/>
        <v>0.33333333333333331</v>
      </c>
      <c r="H47" s="4" t="str">
        <f t="shared" si="3"/>
        <v>Medium Discount</v>
      </c>
      <c r="I47" s="4" t="str" cm="1">
        <f t="array" ref="I47">_xlfn.IFS(G47&lt;0.2,"Low Discount",G47&lt;=0.4,"Medium Discount",G47&gt;0.4,"High Discount")</f>
        <v>Medium Discount</v>
      </c>
      <c r="J47" s="11" t="s">
        <v>325</v>
      </c>
      <c r="K47" t="str">
        <f t="shared" si="4"/>
        <v>Not Provided</v>
      </c>
      <c r="L47" s="11" t="s">
        <v>325</v>
      </c>
      <c r="M47" s="5" t="str">
        <f t="shared" si="5"/>
        <v>Not Provided</v>
      </c>
      <c r="N47" t="str">
        <f t="shared" si="6"/>
        <v>Not Provided</v>
      </c>
      <c r="O47" t="str" cm="1">
        <f t="array" ref="O47">_xlfn.IFS(M47="Not Provided","Not Provided",M47&lt;3,"Poor",M47&lt;=4.4,"Average",M47&gt;=4.5,"Excellent")</f>
        <v>Not Provided</v>
      </c>
    </row>
    <row r="48" spans="1:15" x14ac:dyDescent="0.25">
      <c r="A48" t="s">
        <v>148</v>
      </c>
      <c r="B48" s="11" t="s">
        <v>149</v>
      </c>
      <c r="C48" s="3">
        <f t="shared" si="8"/>
        <v>671</v>
      </c>
      <c r="D48" s="11" t="s">
        <v>150</v>
      </c>
      <c r="E48" s="3">
        <f t="shared" si="7"/>
        <v>1316</v>
      </c>
      <c r="F48" s="3">
        <f t="shared" si="1"/>
        <v>645</v>
      </c>
      <c r="G48" s="4">
        <f t="shared" si="2"/>
        <v>0.49012158054711247</v>
      </c>
      <c r="H48" s="4" t="str">
        <f t="shared" si="3"/>
        <v>High Discount</v>
      </c>
      <c r="I48" s="4" t="str" cm="1">
        <f t="array" ref="I48">_xlfn.IFS(G48&lt;0.2,"Low Discount",G48&lt;=0.4,"Medium Discount",G48&gt;0.4,"High Discount")</f>
        <v>High Discount</v>
      </c>
      <c r="J48" s="11" t="s">
        <v>325</v>
      </c>
      <c r="K48" t="str">
        <f t="shared" si="4"/>
        <v>Not Provided</v>
      </c>
      <c r="L48" s="11" t="s">
        <v>325</v>
      </c>
      <c r="M48" s="5" t="str">
        <f t="shared" si="5"/>
        <v>Not Provided</v>
      </c>
      <c r="N48" t="str">
        <f t="shared" si="6"/>
        <v>Not Provided</v>
      </c>
      <c r="O48" t="str" cm="1">
        <f t="array" ref="O48">_xlfn.IFS(M48="Not Provided","Not Provided",M48&lt;3,"Poor",M48&lt;=4.4,"Average",M48&gt;=4.5,"Excellent")</f>
        <v>Not Provided</v>
      </c>
    </row>
    <row r="49" spans="1:15" x14ac:dyDescent="0.25">
      <c r="A49" t="s">
        <v>151</v>
      </c>
      <c r="B49" s="11" t="s">
        <v>152</v>
      </c>
      <c r="C49" s="3">
        <f t="shared" si="8"/>
        <v>1200</v>
      </c>
      <c r="D49" s="11" t="s">
        <v>153</v>
      </c>
      <c r="E49" s="3">
        <f t="shared" si="7"/>
        <v>1950</v>
      </c>
      <c r="F49" s="3">
        <f t="shared" si="1"/>
        <v>750</v>
      </c>
      <c r="G49" s="4">
        <f t="shared" si="2"/>
        <v>0.38461538461538464</v>
      </c>
      <c r="H49" s="4" t="str">
        <f t="shared" si="3"/>
        <v>Medium Discount</v>
      </c>
      <c r="I49" s="4" t="str" cm="1">
        <f t="array" ref="I49">_xlfn.IFS(G49&lt;0.2,"Low Discount",G49&lt;=0.4,"Medium Discount",G49&gt;0.4,"High Discount")</f>
        <v>Medium Discount</v>
      </c>
      <c r="J49" s="11" t="s">
        <v>325</v>
      </c>
      <c r="K49" t="str">
        <f t="shared" si="4"/>
        <v>Not Provided</v>
      </c>
      <c r="L49" s="11" t="s">
        <v>325</v>
      </c>
      <c r="M49" s="5" t="str">
        <f t="shared" si="5"/>
        <v>Not Provided</v>
      </c>
      <c r="N49" t="str">
        <f t="shared" si="6"/>
        <v>Not Provided</v>
      </c>
      <c r="O49" t="str" cm="1">
        <f t="array" ref="O49">_xlfn.IFS(M49="Not Provided","Not Provided",M49&lt;3,"Poor",M49&lt;=4.4,"Average",M49&gt;=4.5,"Excellent")</f>
        <v>Not Provided</v>
      </c>
    </row>
    <row r="50" spans="1:15" x14ac:dyDescent="0.25">
      <c r="A50" t="s">
        <v>154</v>
      </c>
      <c r="B50" s="11" t="s">
        <v>155</v>
      </c>
      <c r="C50" s="3">
        <f t="shared" si="8"/>
        <v>199</v>
      </c>
      <c r="D50" s="11" t="s">
        <v>156</v>
      </c>
      <c r="E50" s="3">
        <f t="shared" si="7"/>
        <v>504</v>
      </c>
      <c r="F50" s="3">
        <f t="shared" si="1"/>
        <v>305</v>
      </c>
      <c r="G50" s="4">
        <f t="shared" si="2"/>
        <v>0.60515873015873012</v>
      </c>
      <c r="H50" s="4" t="str">
        <f t="shared" si="3"/>
        <v>High Discount</v>
      </c>
      <c r="I50" s="4" t="str" cm="1">
        <f t="array" ref="I50">_xlfn.IFS(G50&lt;0.2,"Low Discount",G50&lt;=0.4,"Medium Discount",G50&gt;0.4,"High Discount")</f>
        <v>High Discount</v>
      </c>
      <c r="J50" s="11" t="s">
        <v>325</v>
      </c>
      <c r="K50" t="str">
        <f t="shared" si="4"/>
        <v>Not Provided</v>
      </c>
      <c r="L50" s="11" t="s">
        <v>325</v>
      </c>
      <c r="M50" s="5" t="str">
        <f t="shared" si="5"/>
        <v>Not Provided</v>
      </c>
      <c r="N50" t="str">
        <f t="shared" si="6"/>
        <v>Not Provided</v>
      </c>
      <c r="O50" t="str" cm="1">
        <f t="array" ref="O50">_xlfn.IFS(M50="Not Provided","Not Provided",M50&lt;3,"Poor",M50&lt;=4.4,"Average",M50&gt;=4.5,"Excellent")</f>
        <v>Not Provided</v>
      </c>
    </row>
    <row r="51" spans="1:15" x14ac:dyDescent="0.25">
      <c r="A51" t="s">
        <v>157</v>
      </c>
      <c r="B51" s="11" t="s">
        <v>158</v>
      </c>
      <c r="C51" s="3">
        <f t="shared" si="8"/>
        <v>299</v>
      </c>
      <c r="D51" s="11" t="s">
        <v>159</v>
      </c>
      <c r="E51" s="3">
        <f t="shared" si="7"/>
        <v>600</v>
      </c>
      <c r="F51" s="3">
        <f t="shared" si="1"/>
        <v>301</v>
      </c>
      <c r="G51" s="4">
        <f t="shared" si="2"/>
        <v>0.50166666666666671</v>
      </c>
      <c r="H51" s="4" t="str">
        <f t="shared" si="3"/>
        <v>High Discount</v>
      </c>
      <c r="I51" s="4" t="str" cm="1">
        <f t="array" ref="I51">_xlfn.IFS(G51&lt;0.2,"Low Discount",G51&lt;=0.4,"Medium Discount",G51&gt;0.4,"High Discount")</f>
        <v>High Discount</v>
      </c>
      <c r="J51" s="11" t="s">
        <v>325</v>
      </c>
      <c r="K51" t="str">
        <f t="shared" si="4"/>
        <v>Not Provided</v>
      </c>
      <c r="L51" s="11" t="s">
        <v>325</v>
      </c>
      <c r="M51" s="5" t="str">
        <f t="shared" si="5"/>
        <v>Not Provided</v>
      </c>
      <c r="N51" t="str">
        <f t="shared" si="6"/>
        <v>Not Provided</v>
      </c>
      <c r="O51" t="str" cm="1">
        <f t="array" ref="O51">_xlfn.IFS(M51="Not Provided","Not Provided",M51&lt;3,"Poor",M51&lt;=4.4,"Average",M51&gt;=4.5,"Excellent")</f>
        <v>Not Provided</v>
      </c>
    </row>
    <row r="52" spans="1:15" x14ac:dyDescent="0.25">
      <c r="A52" t="s">
        <v>160</v>
      </c>
      <c r="B52" s="11" t="s">
        <v>161</v>
      </c>
      <c r="C52" s="3">
        <f t="shared" si="8"/>
        <v>1660</v>
      </c>
      <c r="D52" s="11" t="s">
        <v>162</v>
      </c>
      <c r="E52" s="3">
        <f t="shared" si="7"/>
        <v>1699</v>
      </c>
      <c r="F52" s="3">
        <f t="shared" si="1"/>
        <v>39</v>
      </c>
      <c r="G52" s="4">
        <f t="shared" si="2"/>
        <v>2.2954679223072396E-2</v>
      </c>
      <c r="H52" s="4" t="str">
        <f t="shared" si="3"/>
        <v>Low Discount</v>
      </c>
      <c r="I52" s="4" t="str" cm="1">
        <f t="array" ref="I52">_xlfn.IFS(G52&lt;0.2,"Low Discount",G52&lt;=0.4,"Medium Discount",G52&gt;0.4,"High Discount")</f>
        <v>Low Discount</v>
      </c>
      <c r="J52" s="11" t="s">
        <v>325</v>
      </c>
      <c r="K52" t="str">
        <f t="shared" si="4"/>
        <v>Not Provided</v>
      </c>
      <c r="L52" s="11" t="s">
        <v>325</v>
      </c>
      <c r="M52" s="5" t="str">
        <f t="shared" si="5"/>
        <v>Not Provided</v>
      </c>
      <c r="N52" t="str">
        <f t="shared" si="6"/>
        <v>Not Provided</v>
      </c>
      <c r="O52" t="str" cm="1">
        <f t="array" ref="O52">_xlfn.IFS(M52="Not Provided","Not Provided",M52&lt;3,"Poor",M52&lt;=4.4,"Average",M52&gt;=4.5,"Excellent")</f>
        <v>Not Provided</v>
      </c>
    </row>
    <row r="53" spans="1:15" x14ac:dyDescent="0.25">
      <c r="A53" t="s">
        <v>163</v>
      </c>
      <c r="B53" s="11" t="s">
        <v>158</v>
      </c>
      <c r="C53" s="3">
        <f t="shared" si="8"/>
        <v>299</v>
      </c>
      <c r="D53" s="11" t="s">
        <v>164</v>
      </c>
      <c r="E53" s="3">
        <f t="shared" si="7"/>
        <v>384</v>
      </c>
      <c r="F53" s="3">
        <f t="shared" si="1"/>
        <v>85</v>
      </c>
      <c r="G53" s="4">
        <f t="shared" si="2"/>
        <v>0.22135416666666666</v>
      </c>
      <c r="H53" s="4" t="str">
        <f t="shared" si="3"/>
        <v>Medium Discount</v>
      </c>
      <c r="I53" s="4" t="str" cm="1">
        <f t="array" ref="I53">_xlfn.IFS(G53&lt;0.2,"Low Discount",G53&lt;=0.4,"Medium Discount",G53&gt;0.4,"High Discount")</f>
        <v>Medium Discount</v>
      </c>
      <c r="J53" s="11" t="s">
        <v>325</v>
      </c>
      <c r="K53" t="str">
        <f t="shared" si="4"/>
        <v>Not Provided</v>
      </c>
      <c r="L53" s="11" t="s">
        <v>325</v>
      </c>
      <c r="M53" s="5" t="str">
        <f t="shared" si="5"/>
        <v>Not Provided</v>
      </c>
      <c r="N53" t="str">
        <f t="shared" si="6"/>
        <v>Not Provided</v>
      </c>
      <c r="O53" t="str" cm="1">
        <f t="array" ref="O53">_xlfn.IFS(M53="Not Provided","Not Provided",M53&lt;3,"Poor",M53&lt;=4.4,"Average",M53&gt;=4.5,"Excellent")</f>
        <v>Not Provided</v>
      </c>
    </row>
    <row r="54" spans="1:15" x14ac:dyDescent="0.25">
      <c r="A54" t="s">
        <v>165</v>
      </c>
      <c r="B54" s="11" t="s">
        <v>166</v>
      </c>
      <c r="C54" s="3">
        <f t="shared" si="8"/>
        <v>1459</v>
      </c>
      <c r="D54" s="11" t="s">
        <v>167</v>
      </c>
      <c r="E54" s="3">
        <f t="shared" si="7"/>
        <v>1499</v>
      </c>
      <c r="F54" s="3">
        <f t="shared" si="1"/>
        <v>40</v>
      </c>
      <c r="G54" s="4">
        <f t="shared" si="2"/>
        <v>2.6684456304202801E-2</v>
      </c>
      <c r="H54" s="4" t="str">
        <f t="shared" si="3"/>
        <v>Low Discount</v>
      </c>
      <c r="I54" s="4" t="str" cm="1">
        <f t="array" ref="I54">_xlfn.IFS(G54&lt;0.2,"Low Discount",G54&lt;=0.4,"Medium Discount",G54&gt;0.4,"High Discount")</f>
        <v>Low Discount</v>
      </c>
      <c r="J54" s="11" t="s">
        <v>325</v>
      </c>
      <c r="K54" t="str">
        <f t="shared" si="4"/>
        <v>Not Provided</v>
      </c>
      <c r="L54" s="11" t="s">
        <v>325</v>
      </c>
      <c r="M54" s="5" t="str">
        <f t="shared" si="5"/>
        <v>Not Provided</v>
      </c>
      <c r="N54" t="str">
        <f t="shared" si="6"/>
        <v>Not Provided</v>
      </c>
      <c r="O54" t="str" cm="1">
        <f t="array" ref="O54">_xlfn.IFS(M54="Not Provided","Not Provided",M54&lt;3,"Poor",M54&lt;=4.4,"Average",M54&gt;=4.5,"Excellent")</f>
        <v>Not Provided</v>
      </c>
    </row>
    <row r="55" spans="1:15" x14ac:dyDescent="0.25">
      <c r="A55" t="s">
        <v>168</v>
      </c>
      <c r="B55" s="11" t="s">
        <v>43</v>
      </c>
      <c r="C55" s="3">
        <f t="shared" si="8"/>
        <v>799</v>
      </c>
      <c r="D55" s="11" t="s">
        <v>169</v>
      </c>
      <c r="E55" s="3">
        <f t="shared" si="7"/>
        <v>1343</v>
      </c>
      <c r="F55" s="3">
        <f t="shared" si="1"/>
        <v>544</v>
      </c>
      <c r="G55" s="4">
        <f t="shared" si="2"/>
        <v>0.4050632911392405</v>
      </c>
      <c r="H55" s="4" t="str">
        <f t="shared" si="3"/>
        <v>High Discount</v>
      </c>
      <c r="I55" s="4" t="str" cm="1">
        <f t="array" ref="I55">_xlfn.IFS(G55&lt;0.2,"Low Discount",G55&lt;=0.4,"Medium Discount",G55&gt;0.4,"High Discount")</f>
        <v>High Discount</v>
      </c>
      <c r="J55" s="11" t="s">
        <v>325</v>
      </c>
      <c r="K55" t="str">
        <f t="shared" si="4"/>
        <v>Not Provided</v>
      </c>
      <c r="L55" s="11" t="s">
        <v>325</v>
      </c>
      <c r="M55" s="5" t="str">
        <f t="shared" si="5"/>
        <v>Not Provided</v>
      </c>
      <c r="N55" t="str">
        <f t="shared" si="6"/>
        <v>Not Provided</v>
      </c>
      <c r="O55" t="str" cm="1">
        <f t="array" ref="O55">_xlfn.IFS(M55="Not Provided","Not Provided",M55&lt;3,"Poor",M55&lt;=4.4,"Average",M55&gt;=4.5,"Excellent")</f>
        <v>Not Provided</v>
      </c>
    </row>
    <row r="56" spans="1:15" x14ac:dyDescent="0.25">
      <c r="A56" t="s">
        <v>170</v>
      </c>
      <c r="B56" s="11" t="s">
        <v>171</v>
      </c>
      <c r="C56" s="3">
        <f t="shared" si="8"/>
        <v>499</v>
      </c>
      <c r="D56" s="11" t="s">
        <v>172</v>
      </c>
      <c r="E56" s="3">
        <f t="shared" si="7"/>
        <v>900</v>
      </c>
      <c r="F56" s="3">
        <f t="shared" si="1"/>
        <v>401</v>
      </c>
      <c r="G56" s="4">
        <f t="shared" si="2"/>
        <v>0.44555555555555554</v>
      </c>
      <c r="H56" s="4" t="str">
        <f t="shared" si="3"/>
        <v>High Discount</v>
      </c>
      <c r="I56" s="4" t="str" cm="1">
        <f t="array" ref="I56">_xlfn.IFS(G56&lt;0.2,"Low Discount",G56&lt;=0.4,"Medium Discount",G56&gt;0.4,"High Discount")</f>
        <v>High Discount</v>
      </c>
      <c r="J56" s="11" t="s">
        <v>325</v>
      </c>
      <c r="K56" t="str">
        <f t="shared" si="4"/>
        <v>Not Provided</v>
      </c>
      <c r="L56" s="11" t="s">
        <v>325</v>
      </c>
      <c r="M56" s="5" t="str">
        <f t="shared" si="5"/>
        <v>Not Provided</v>
      </c>
      <c r="N56" t="str">
        <f t="shared" si="6"/>
        <v>Not Provided</v>
      </c>
      <c r="O56" t="str" cm="1">
        <f t="array" ref="O56">_xlfn.IFS(M56="Not Provided","Not Provided",M56&lt;3,"Poor",M56&lt;=4.4,"Average",M56&gt;=4.5,"Excellent")</f>
        <v>Not Provided</v>
      </c>
    </row>
    <row r="57" spans="1:15" x14ac:dyDescent="0.25">
      <c r="A57" t="s">
        <v>173</v>
      </c>
      <c r="B57" s="11" t="s">
        <v>174</v>
      </c>
      <c r="C57" s="3">
        <f t="shared" si="8"/>
        <v>699</v>
      </c>
      <c r="D57" s="11" t="s">
        <v>169</v>
      </c>
      <c r="E57" s="3">
        <f t="shared" si="7"/>
        <v>1343</v>
      </c>
      <c r="F57" s="3">
        <f t="shared" si="1"/>
        <v>644</v>
      </c>
      <c r="G57" s="4">
        <f t="shared" si="2"/>
        <v>0.47952345495160087</v>
      </c>
      <c r="H57" s="4" t="str">
        <f t="shared" si="3"/>
        <v>High Discount</v>
      </c>
      <c r="I57" s="4" t="str" cm="1">
        <f t="array" ref="I57">_xlfn.IFS(G57&lt;0.2,"Low Discount",G57&lt;=0.4,"Medium Discount",G57&gt;0.4,"High Discount")</f>
        <v>High Discount</v>
      </c>
      <c r="J57" s="11" t="s">
        <v>325</v>
      </c>
      <c r="K57" t="str">
        <f t="shared" si="4"/>
        <v>Not Provided</v>
      </c>
      <c r="L57" s="11" t="s">
        <v>325</v>
      </c>
      <c r="M57" s="5" t="str">
        <f t="shared" si="5"/>
        <v>Not Provided</v>
      </c>
      <c r="N57" t="str">
        <f t="shared" si="6"/>
        <v>Not Provided</v>
      </c>
      <c r="O57" t="str" cm="1">
        <f t="array" ref="O57">_xlfn.IFS(M57="Not Provided","Not Provided",M57&lt;3,"Poor",M57&lt;=4.4,"Average",M57&gt;=4.5,"Excellent")</f>
        <v>Not Provided</v>
      </c>
    </row>
    <row r="58" spans="1:15" x14ac:dyDescent="0.25">
      <c r="A58" t="s">
        <v>175</v>
      </c>
      <c r="B58" s="11" t="s">
        <v>43</v>
      </c>
      <c r="C58" s="3">
        <f t="shared" si="8"/>
        <v>799</v>
      </c>
      <c r="D58" s="11" t="s">
        <v>176</v>
      </c>
      <c r="E58" s="3">
        <f t="shared" si="7"/>
        <v>1567</v>
      </c>
      <c r="F58" s="3">
        <f t="shared" si="1"/>
        <v>768</v>
      </c>
      <c r="G58" s="4">
        <f t="shared" si="2"/>
        <v>0.49010848755583919</v>
      </c>
      <c r="H58" s="4" t="str">
        <f t="shared" si="3"/>
        <v>High Discount</v>
      </c>
      <c r="I58" s="4" t="str" cm="1">
        <f t="array" ref="I58">_xlfn.IFS(G58&lt;0.2,"Low Discount",G58&lt;=0.4,"Medium Discount",G58&gt;0.4,"High Discount")</f>
        <v>High Discount</v>
      </c>
      <c r="J58" s="11" t="s">
        <v>325</v>
      </c>
      <c r="K58" t="str">
        <f t="shared" si="4"/>
        <v>Not Provided</v>
      </c>
      <c r="L58" s="11" t="s">
        <v>325</v>
      </c>
      <c r="M58" s="5" t="str">
        <f t="shared" si="5"/>
        <v>Not Provided</v>
      </c>
      <c r="N58" t="str">
        <f t="shared" si="6"/>
        <v>Not Provided</v>
      </c>
      <c r="O58" t="str" cm="1">
        <f t="array" ref="O58">_xlfn.IFS(M58="Not Provided","Not Provided",M58&lt;3,"Poor",M58&lt;=4.4,"Average",M58&gt;=4.5,"Excellent")</f>
        <v>Not Provided</v>
      </c>
    </row>
    <row r="59" spans="1:15" x14ac:dyDescent="0.25">
      <c r="A59" t="s">
        <v>177</v>
      </c>
      <c r="B59" s="11" t="s">
        <v>178</v>
      </c>
      <c r="C59" s="3">
        <f t="shared" si="8"/>
        <v>2799</v>
      </c>
      <c r="D59" s="11" t="s">
        <v>179</v>
      </c>
      <c r="E59" s="3">
        <f t="shared" si="7"/>
        <v>3810</v>
      </c>
      <c r="F59" s="3">
        <f t="shared" si="1"/>
        <v>1011</v>
      </c>
      <c r="G59" s="4">
        <f t="shared" si="2"/>
        <v>0.26535433070866143</v>
      </c>
      <c r="H59" s="4" t="str">
        <f t="shared" si="3"/>
        <v>Medium Discount</v>
      </c>
      <c r="I59" s="4" t="str" cm="1">
        <f t="array" ref="I59">_xlfn.IFS(G59&lt;0.2,"Low Discount",G59&lt;=0.4,"Medium Discount",G59&gt;0.4,"High Discount")</f>
        <v>Medium Discount</v>
      </c>
      <c r="J59" s="11" t="s">
        <v>325</v>
      </c>
      <c r="K59" t="str">
        <f t="shared" si="4"/>
        <v>Not Provided</v>
      </c>
      <c r="L59" s="11" t="s">
        <v>325</v>
      </c>
      <c r="M59" s="5" t="str">
        <f t="shared" si="5"/>
        <v>Not Provided</v>
      </c>
      <c r="N59" t="str">
        <f t="shared" si="6"/>
        <v>Not Provided</v>
      </c>
      <c r="O59" t="str" cm="1">
        <f t="array" ref="O59">_xlfn.IFS(M59="Not Provided","Not Provided",M59&lt;3,"Poor",M59&lt;=4.4,"Average",M59&gt;=4.5,"Excellent")</f>
        <v>Not Provided</v>
      </c>
    </row>
    <row r="60" spans="1:15" x14ac:dyDescent="0.25">
      <c r="A60" t="s">
        <v>170</v>
      </c>
      <c r="B60" s="11" t="s">
        <v>180</v>
      </c>
      <c r="C60" s="3">
        <f t="shared" si="8"/>
        <v>399</v>
      </c>
      <c r="D60" s="11" t="s">
        <v>181</v>
      </c>
      <c r="E60" s="3">
        <f t="shared" si="7"/>
        <v>896</v>
      </c>
      <c r="F60" s="3">
        <f t="shared" si="1"/>
        <v>497</v>
      </c>
      <c r="G60" s="4">
        <f t="shared" si="2"/>
        <v>0.5546875</v>
      </c>
      <c r="H60" s="4" t="str">
        <f t="shared" si="3"/>
        <v>High Discount</v>
      </c>
      <c r="I60" s="4" t="str" cm="1">
        <f t="array" ref="I60">_xlfn.IFS(G60&lt;0.2,"Low Discount",G60&lt;=0.4,"Medium Discount",G60&gt;0.4,"High Discount")</f>
        <v>High Discount</v>
      </c>
      <c r="J60" s="11" t="s">
        <v>325</v>
      </c>
      <c r="K60" t="str">
        <f t="shared" si="4"/>
        <v>Not Provided</v>
      </c>
      <c r="L60" s="11" t="s">
        <v>325</v>
      </c>
      <c r="M60" s="5" t="str">
        <f t="shared" si="5"/>
        <v>Not Provided</v>
      </c>
      <c r="N60" t="str">
        <f t="shared" si="6"/>
        <v>Not Provided</v>
      </c>
      <c r="O60" t="str" cm="1">
        <f t="array" ref="O60">_xlfn.IFS(M60="Not Provided","Not Provided",M60&lt;3,"Poor",M60&lt;=4.4,"Average",M60&gt;=4.5,"Excellent")</f>
        <v>Not Provided</v>
      </c>
    </row>
    <row r="61" spans="1:15" x14ac:dyDescent="0.25">
      <c r="A61" t="s">
        <v>182</v>
      </c>
      <c r="B61" s="11" t="s">
        <v>183</v>
      </c>
      <c r="C61" s="3">
        <f t="shared" si="8"/>
        <v>2170</v>
      </c>
      <c r="D61" s="11" t="s">
        <v>184</v>
      </c>
      <c r="E61" s="3">
        <f t="shared" si="7"/>
        <v>2500</v>
      </c>
      <c r="F61" s="3">
        <f t="shared" si="1"/>
        <v>330</v>
      </c>
      <c r="G61" s="4">
        <f t="shared" si="2"/>
        <v>0.13200000000000001</v>
      </c>
      <c r="H61" s="4" t="str">
        <f t="shared" si="3"/>
        <v>Low Discount</v>
      </c>
      <c r="I61" s="4" t="str" cm="1">
        <f t="array" ref="I61">_xlfn.IFS(G61&lt;0.2,"Low Discount",G61&lt;=0.4,"Medium Discount",G61&gt;0.4,"High Discount")</f>
        <v>Low Discount</v>
      </c>
      <c r="J61" s="11">
        <v>-6</v>
      </c>
      <c r="K61">
        <f t="shared" si="4"/>
        <v>6</v>
      </c>
      <c r="L61" s="11" t="s">
        <v>185</v>
      </c>
      <c r="M61" s="5">
        <f t="shared" si="5"/>
        <v>2.5</v>
      </c>
      <c r="N61" t="str">
        <f t="shared" si="6"/>
        <v>Poor</v>
      </c>
      <c r="O61" t="str" cm="1">
        <f t="array" ref="O61">_xlfn.IFS(M61="Not Provided","Not Provided",M61&lt;3,"Poor",M61&lt;=4.4,"Average",M61&gt;=4.5,"Excellent")</f>
        <v>Poor</v>
      </c>
    </row>
    <row r="62" spans="1:15" x14ac:dyDescent="0.25">
      <c r="A62" t="s">
        <v>186</v>
      </c>
      <c r="B62" s="11" t="s">
        <v>187</v>
      </c>
      <c r="C62" s="3">
        <f t="shared" si="8"/>
        <v>458</v>
      </c>
      <c r="D62" s="11" t="s">
        <v>188</v>
      </c>
      <c r="E62" s="3">
        <f t="shared" si="7"/>
        <v>986</v>
      </c>
      <c r="F62" s="3">
        <f t="shared" si="1"/>
        <v>528</v>
      </c>
      <c r="G62" s="4">
        <f t="shared" si="2"/>
        <v>0.53549695740365111</v>
      </c>
      <c r="H62" s="4" t="str">
        <f t="shared" si="3"/>
        <v>High Discount</v>
      </c>
      <c r="I62" s="4" t="str" cm="1">
        <f t="array" ref="I62">_xlfn.IFS(G62&lt;0.2,"Low Discount",G62&lt;=0.4,"Medium Discount",G62&gt;0.4,"High Discount")</f>
        <v>High Discount</v>
      </c>
      <c r="J62" s="11">
        <v>-10</v>
      </c>
      <c r="K62">
        <f t="shared" si="4"/>
        <v>10</v>
      </c>
      <c r="L62" s="11" t="s">
        <v>189</v>
      </c>
      <c r="M62" s="5">
        <f t="shared" si="5"/>
        <v>3</v>
      </c>
      <c r="N62" t="str">
        <f t="shared" si="6"/>
        <v>Average</v>
      </c>
      <c r="O62" t="str" cm="1">
        <f t="array" ref="O62">_xlfn.IFS(M62="Not Provided","Not Provided",M62&lt;3,"Poor",M62&lt;=4.4,"Average",M62&gt;=4.5,"Excellent")</f>
        <v>Average</v>
      </c>
    </row>
    <row r="63" spans="1:15" x14ac:dyDescent="0.25">
      <c r="A63" t="s">
        <v>190</v>
      </c>
      <c r="B63" s="11" t="s">
        <v>191</v>
      </c>
      <c r="C63" s="3">
        <f t="shared" si="8"/>
        <v>2115</v>
      </c>
      <c r="D63" s="11" t="s">
        <v>192</v>
      </c>
      <c r="E63" s="3">
        <f t="shared" si="7"/>
        <v>4700</v>
      </c>
      <c r="F63" s="3">
        <f t="shared" si="1"/>
        <v>2585</v>
      </c>
      <c r="G63" s="4">
        <f t="shared" si="2"/>
        <v>0.55000000000000004</v>
      </c>
      <c r="H63" s="4" t="str">
        <f t="shared" si="3"/>
        <v>High Discount</v>
      </c>
      <c r="I63" s="4" t="str" cm="1">
        <f t="array" ref="I63">_xlfn.IFS(G63&lt;0.2,"Low Discount",G63&lt;=0.4,"Medium Discount",G63&gt;0.4,"High Discount")</f>
        <v>High Discount</v>
      </c>
      <c r="J63" s="11">
        <v>-13</v>
      </c>
      <c r="K63">
        <f t="shared" si="4"/>
        <v>13</v>
      </c>
      <c r="L63" s="11" t="s">
        <v>193</v>
      </c>
      <c r="M63" s="5">
        <f t="shared" si="5"/>
        <v>2.1</v>
      </c>
      <c r="N63" t="str">
        <f t="shared" si="6"/>
        <v>Poor</v>
      </c>
      <c r="O63" t="str" cm="1">
        <f t="array" ref="O63">_xlfn.IFS(M63="Not Provided","Not Provided",M63&lt;3,"Poor",M63&lt;=4.4,"Average",M63&gt;=4.5,"Excellent")</f>
        <v>Poor</v>
      </c>
    </row>
    <row r="64" spans="1:15" x14ac:dyDescent="0.25">
      <c r="A64" t="s">
        <v>194</v>
      </c>
      <c r="B64" s="11" t="s">
        <v>195</v>
      </c>
      <c r="C64" s="3">
        <f t="shared" si="8"/>
        <v>445</v>
      </c>
      <c r="D64" s="11" t="s">
        <v>196</v>
      </c>
      <c r="E64" s="3">
        <f t="shared" si="7"/>
        <v>873</v>
      </c>
      <c r="F64" s="3">
        <f t="shared" si="1"/>
        <v>428</v>
      </c>
      <c r="G64" s="4">
        <f t="shared" si="2"/>
        <v>0.49026345933562426</v>
      </c>
      <c r="H64" s="4" t="str">
        <f t="shared" si="3"/>
        <v>High Discount</v>
      </c>
      <c r="I64" s="4" t="str" cm="1">
        <f t="array" ref="I64">_xlfn.IFS(G64&lt;0.2,"Low Discount",G64&lt;=0.4,"Medium Discount",G64&gt;0.4,"High Discount")</f>
        <v>High Discount</v>
      </c>
      <c r="J64" s="11">
        <v>-69</v>
      </c>
      <c r="K64">
        <f t="shared" si="4"/>
        <v>69</v>
      </c>
      <c r="L64" s="11" t="s">
        <v>197</v>
      </c>
      <c r="M64" s="5">
        <f t="shared" si="5"/>
        <v>2.8</v>
      </c>
      <c r="N64" t="str">
        <f t="shared" si="6"/>
        <v>Poor</v>
      </c>
      <c r="O64" t="str" cm="1">
        <f t="array" ref="O64">_xlfn.IFS(M64="Not Provided","Not Provided",M64&lt;3,"Poor",M64&lt;=4.4,"Average",M64&gt;=4.5,"Excellent")</f>
        <v>Poor</v>
      </c>
    </row>
    <row r="65" spans="1:15" x14ac:dyDescent="0.25">
      <c r="A65" t="s">
        <v>198</v>
      </c>
      <c r="B65" s="11" t="s">
        <v>199</v>
      </c>
      <c r="C65" s="3">
        <f t="shared" si="8"/>
        <v>325</v>
      </c>
      <c r="D65" s="11" t="s">
        <v>200</v>
      </c>
      <c r="E65" s="3">
        <f t="shared" si="7"/>
        <v>680</v>
      </c>
      <c r="F65" s="3">
        <f t="shared" si="1"/>
        <v>355</v>
      </c>
      <c r="G65" s="4">
        <f t="shared" si="2"/>
        <v>0.5220588235294118</v>
      </c>
      <c r="H65" s="4" t="str">
        <f t="shared" si="3"/>
        <v>High Discount</v>
      </c>
      <c r="I65" s="4" t="str" cm="1">
        <f t="array" ref="I65">_xlfn.IFS(G65&lt;0.2,"Low Discount",G65&lt;=0.4,"Medium Discount",G65&gt;0.4,"High Discount")</f>
        <v>High Discount</v>
      </c>
      <c r="J65" s="11">
        <v>-15</v>
      </c>
      <c r="K65">
        <f t="shared" si="4"/>
        <v>15</v>
      </c>
      <c r="L65" s="11" t="s">
        <v>201</v>
      </c>
      <c r="M65" s="5">
        <f t="shared" si="5"/>
        <v>2.7</v>
      </c>
      <c r="N65" t="str">
        <f t="shared" si="6"/>
        <v>Poor</v>
      </c>
      <c r="O65" t="str" cm="1">
        <f t="array" ref="O65">_xlfn.IFS(M65="Not Provided","Not Provided",M65&lt;3,"Poor",M65&lt;=4.4,"Average",M65&gt;=4.5,"Excellent")</f>
        <v>Poor</v>
      </c>
    </row>
    <row r="66" spans="1:15" x14ac:dyDescent="0.25">
      <c r="A66" t="s">
        <v>202</v>
      </c>
      <c r="B66" s="11" t="s">
        <v>203</v>
      </c>
      <c r="C66" s="3">
        <f t="shared" ref="C66:C97" si="9">IFERROR(VALUE(SUBSTITUTE(SUBSTITUTE(TRIM(B66),"KSh",""),",","")),0)</f>
        <v>1220</v>
      </c>
      <c r="D66" s="11" t="s">
        <v>204</v>
      </c>
      <c r="E66" s="3">
        <f t="shared" si="7"/>
        <v>1555</v>
      </c>
      <c r="F66" s="3">
        <f t="shared" si="1"/>
        <v>335</v>
      </c>
      <c r="G66" s="4">
        <f t="shared" si="2"/>
        <v>0.21543408360128619</v>
      </c>
      <c r="H66" s="4" t="str">
        <f t="shared" si="3"/>
        <v>Medium Discount</v>
      </c>
      <c r="I66" s="4" t="str" cm="1">
        <f t="array" ref="I66">_xlfn.IFS(G66&lt;0.2,"Low Discount",G66&lt;=0.4,"Medium Discount",G66&gt;0.4,"High Discount")</f>
        <v>Medium Discount</v>
      </c>
      <c r="J66" s="11">
        <v>-16</v>
      </c>
      <c r="K66">
        <f t="shared" si="4"/>
        <v>16</v>
      </c>
      <c r="L66" s="11" t="s">
        <v>205</v>
      </c>
      <c r="M66" s="5">
        <f t="shared" si="5"/>
        <v>2.9</v>
      </c>
      <c r="N66" t="str">
        <f t="shared" si="6"/>
        <v>Poor</v>
      </c>
      <c r="O66" t="str" cm="1">
        <f t="array" ref="O66">_xlfn.IFS(M66="Not Provided","Not Provided",M66&lt;3,"Poor",M66&lt;=4.4,"Average",M66&gt;=4.5,"Excellent")</f>
        <v>Poor</v>
      </c>
    </row>
    <row r="67" spans="1:15" x14ac:dyDescent="0.25">
      <c r="A67" t="s">
        <v>206</v>
      </c>
      <c r="B67" s="11" t="s">
        <v>45</v>
      </c>
      <c r="C67" s="3">
        <f t="shared" si="9"/>
        <v>990</v>
      </c>
      <c r="D67" s="11" t="s">
        <v>207</v>
      </c>
      <c r="E67" s="3">
        <f t="shared" si="7"/>
        <v>1814</v>
      </c>
      <c r="F67" s="3">
        <f t="shared" ref="F67:F113" si="10">E67-C67</f>
        <v>824</v>
      </c>
      <c r="G67" s="4">
        <f t="shared" ref="G67:G113" si="11">(E67 - C67) / E67</f>
        <v>0.45424476295479604</v>
      </c>
      <c r="H67" s="4" t="str">
        <f t="shared" ref="H67:H113" si="12">IF(G67&lt;0.2,"Low Discount",IF(G67&lt;=0.4,"Medium Discount","High Discount"))</f>
        <v>High Discount</v>
      </c>
      <c r="I67" s="4" t="str" cm="1">
        <f t="array" ref="I67">_xlfn.IFS(G67&lt;0.2,"Low Discount",G67&lt;=0.4,"Medium Discount",G67&gt;0.4,"High Discount")</f>
        <v>High Discount</v>
      </c>
      <c r="J67" s="11">
        <v>-6</v>
      </c>
      <c r="K67">
        <f t="shared" ref="K67:K113" si="13">IF(J67&lt;0,-J67,J67)</f>
        <v>6</v>
      </c>
      <c r="L67" s="11" t="s">
        <v>208</v>
      </c>
      <c r="M67" s="5">
        <f t="shared" ref="M67:M113" si="14">IFERROR(VALUE(SUBSTITUTE(TRIM(L67)," out of 5","")),L67)</f>
        <v>2.2000000000000002</v>
      </c>
      <c r="N67" t="str">
        <f t="shared" ref="N67:N113" si="15">IF(M67="Not Provided","Not Provided",IF(M67&lt;3,"Poor",IF(M67&lt;=4.4,"Average","Excellent")))</f>
        <v>Poor</v>
      </c>
      <c r="O67" t="str" cm="1">
        <f t="array" ref="O67">_xlfn.IFS(M67="Not Provided","Not Provided",M67&lt;3,"Poor",M67&lt;=4.4,"Average",M67&gt;=4.5,"Excellent")</f>
        <v>Poor</v>
      </c>
    </row>
    <row r="68" spans="1:15" x14ac:dyDescent="0.25">
      <c r="A68" t="s">
        <v>209</v>
      </c>
      <c r="B68" s="11" t="s">
        <v>210</v>
      </c>
      <c r="C68" s="3">
        <f t="shared" si="9"/>
        <v>1000</v>
      </c>
      <c r="D68" s="11" t="s">
        <v>144</v>
      </c>
      <c r="E68" s="3">
        <f t="shared" ref="E68:E113" si="16">IFERROR(VALUE(SUBSTITUTE(SUBSTITUTE(TRIM(D68),"KSh",""),",","")),0)</f>
        <v>2000</v>
      </c>
      <c r="F68" s="3">
        <f t="shared" si="10"/>
        <v>1000</v>
      </c>
      <c r="G68" s="4">
        <f t="shared" si="11"/>
        <v>0.5</v>
      </c>
      <c r="H68" s="4" t="str">
        <f t="shared" si="12"/>
        <v>High Discount</v>
      </c>
      <c r="I68" s="4" t="str" cm="1">
        <f t="array" ref="I68">_xlfn.IFS(G68&lt;0.2,"Low Discount",G68&lt;=0.4,"Medium Discount",G68&gt;0.4,"High Discount")</f>
        <v>High Discount</v>
      </c>
      <c r="J68" s="11">
        <v>-7</v>
      </c>
      <c r="K68">
        <f t="shared" si="13"/>
        <v>7</v>
      </c>
      <c r="L68" s="11" t="s">
        <v>211</v>
      </c>
      <c r="M68" s="5">
        <f t="shared" si="14"/>
        <v>2.2999999999999998</v>
      </c>
      <c r="N68" t="str">
        <f t="shared" si="15"/>
        <v>Poor</v>
      </c>
      <c r="O68" t="str" cm="1">
        <f t="array" ref="O68">_xlfn.IFS(M68="Not Provided","Not Provided",M68&lt;3,"Poor",M68&lt;=4.4,"Average",M68&gt;=4.5,"Excellent")</f>
        <v>Poor</v>
      </c>
    </row>
    <row r="69" spans="1:15" x14ac:dyDescent="0.25">
      <c r="A69" t="s">
        <v>212</v>
      </c>
      <c r="B69" s="11" t="s">
        <v>213</v>
      </c>
      <c r="C69" s="3">
        <f t="shared" si="9"/>
        <v>3750</v>
      </c>
      <c r="D69" s="11" t="s">
        <v>214</v>
      </c>
      <c r="E69" s="3">
        <f t="shared" si="16"/>
        <v>6143</v>
      </c>
      <c r="F69" s="3">
        <f t="shared" si="10"/>
        <v>2393</v>
      </c>
      <c r="G69" s="4">
        <f t="shared" si="11"/>
        <v>0.38954908025394758</v>
      </c>
      <c r="H69" s="4" t="str">
        <f t="shared" si="12"/>
        <v>Medium Discount</v>
      </c>
      <c r="I69" s="4" t="str" cm="1">
        <f t="array" ref="I69">_xlfn.IFS(G69&lt;0.2,"Low Discount",G69&lt;=0.4,"Medium Discount",G69&gt;0.4,"High Discount")</f>
        <v>Medium Discount</v>
      </c>
      <c r="J69" s="11">
        <v>-5</v>
      </c>
      <c r="K69">
        <f t="shared" si="13"/>
        <v>5</v>
      </c>
      <c r="L69" s="11" t="s">
        <v>189</v>
      </c>
      <c r="M69" s="5">
        <f t="shared" si="14"/>
        <v>3</v>
      </c>
      <c r="N69" t="str">
        <f t="shared" si="15"/>
        <v>Average</v>
      </c>
      <c r="O69" t="str" cm="1">
        <f t="array" ref="O69">_xlfn.IFS(M69="Not Provided","Not Provided",M69&lt;3,"Poor",M69&lt;=4.4,"Average",M69&gt;=4.5,"Excellent")</f>
        <v>Average</v>
      </c>
    </row>
    <row r="70" spans="1:15" x14ac:dyDescent="0.25">
      <c r="A70" t="s">
        <v>215</v>
      </c>
      <c r="B70" s="11" t="s">
        <v>104</v>
      </c>
      <c r="C70" s="3">
        <f t="shared" si="9"/>
        <v>382</v>
      </c>
      <c r="D70" s="11" t="s">
        <v>216</v>
      </c>
      <c r="E70" s="3">
        <f t="shared" si="16"/>
        <v>700</v>
      </c>
      <c r="F70" s="3">
        <f t="shared" si="10"/>
        <v>318</v>
      </c>
      <c r="G70" s="4">
        <f t="shared" si="11"/>
        <v>0.45428571428571429</v>
      </c>
      <c r="H70" s="4" t="str">
        <f t="shared" si="12"/>
        <v>High Discount</v>
      </c>
      <c r="I70" s="4" t="str" cm="1">
        <f t="array" ref="I70">_xlfn.IFS(G70&lt;0.2,"Low Discount",G70&lt;=0.4,"Medium Discount",G70&gt;0.4,"High Discount")</f>
        <v>High Discount</v>
      </c>
      <c r="J70" s="11">
        <v>-17</v>
      </c>
      <c r="K70">
        <f t="shared" si="13"/>
        <v>17</v>
      </c>
      <c r="L70" s="11" t="s">
        <v>217</v>
      </c>
      <c r="M70" s="5">
        <f t="shared" si="14"/>
        <v>2.6</v>
      </c>
      <c r="N70" t="str">
        <f t="shared" si="15"/>
        <v>Poor</v>
      </c>
      <c r="O70" t="str" cm="1">
        <f t="array" ref="O70">_xlfn.IFS(M70="Not Provided","Not Provided",M70&lt;3,"Poor",M70&lt;=4.4,"Average",M70&gt;=4.5,"Excellent")</f>
        <v>Poor</v>
      </c>
    </row>
    <row r="71" spans="1:15" x14ac:dyDescent="0.25">
      <c r="A71" t="s">
        <v>218</v>
      </c>
      <c r="B71" s="11" t="s">
        <v>219</v>
      </c>
      <c r="C71" s="3">
        <f t="shared" si="9"/>
        <v>2300</v>
      </c>
      <c r="D71" s="11" t="s">
        <v>220</v>
      </c>
      <c r="E71" s="3">
        <f t="shared" si="16"/>
        <v>3240</v>
      </c>
      <c r="F71" s="3">
        <f t="shared" si="10"/>
        <v>940</v>
      </c>
      <c r="G71" s="4">
        <f t="shared" si="11"/>
        <v>0.29012345679012347</v>
      </c>
      <c r="H71" s="4" t="str">
        <f t="shared" si="12"/>
        <v>Medium Discount</v>
      </c>
      <c r="I71" s="4" t="str" cm="1">
        <f t="array" ref="I71">_xlfn.IFS(G71&lt;0.2,"Low Discount",G71&lt;=0.4,"Medium Discount",G71&gt;0.4,"High Discount")</f>
        <v>Medium Discount</v>
      </c>
      <c r="J71" s="11">
        <v>-5</v>
      </c>
      <c r="K71">
        <f t="shared" si="13"/>
        <v>5</v>
      </c>
      <c r="L71" s="11" t="s">
        <v>189</v>
      </c>
      <c r="M71" s="5">
        <f t="shared" si="14"/>
        <v>3</v>
      </c>
      <c r="N71" t="str">
        <f t="shared" si="15"/>
        <v>Average</v>
      </c>
      <c r="O71" t="str" cm="1">
        <f t="array" ref="O71">_xlfn.IFS(M71="Not Provided","Not Provided",M71&lt;3,"Poor",M71&lt;=4.4,"Average",M71&gt;=4.5,"Excellent")</f>
        <v>Average</v>
      </c>
    </row>
    <row r="72" spans="1:15" x14ac:dyDescent="0.25">
      <c r="A72" t="s">
        <v>221</v>
      </c>
      <c r="B72" s="11" t="s">
        <v>222</v>
      </c>
      <c r="C72" s="3">
        <f t="shared" si="9"/>
        <v>345</v>
      </c>
      <c r="D72" s="11" t="s">
        <v>223</v>
      </c>
      <c r="E72" s="3">
        <f t="shared" si="16"/>
        <v>602</v>
      </c>
      <c r="F72" s="3">
        <f t="shared" si="10"/>
        <v>257</v>
      </c>
      <c r="G72" s="4">
        <f t="shared" si="11"/>
        <v>0.42691029900332228</v>
      </c>
      <c r="H72" s="4" t="str">
        <f t="shared" si="12"/>
        <v>High Discount</v>
      </c>
      <c r="I72" s="4" t="str" cm="1">
        <f t="array" ref="I72">_xlfn.IFS(G72&lt;0.2,"Low Discount",G72&lt;=0.4,"Medium Discount",G72&gt;0.4,"High Discount")</f>
        <v>High Discount</v>
      </c>
      <c r="J72" s="11">
        <v>-6</v>
      </c>
      <c r="K72">
        <f t="shared" si="13"/>
        <v>6</v>
      </c>
      <c r="L72" s="11" t="s">
        <v>211</v>
      </c>
      <c r="M72" s="5">
        <f t="shared" si="14"/>
        <v>2.2999999999999998</v>
      </c>
      <c r="N72" t="str">
        <f t="shared" si="15"/>
        <v>Poor</v>
      </c>
      <c r="O72" t="str" cm="1">
        <f t="array" ref="O72">_xlfn.IFS(M72="Not Provided","Not Provided",M72&lt;3,"Poor",M72&lt;=4.4,"Average",M72&gt;=4.5,"Excellent")</f>
        <v>Poor</v>
      </c>
    </row>
    <row r="73" spans="1:15" x14ac:dyDescent="0.25">
      <c r="A73" t="s">
        <v>224</v>
      </c>
      <c r="B73" s="11" t="s">
        <v>225</v>
      </c>
      <c r="C73" s="3">
        <f t="shared" si="9"/>
        <v>509</v>
      </c>
      <c r="D73" s="11" t="s">
        <v>226</v>
      </c>
      <c r="E73" s="3">
        <f t="shared" si="16"/>
        <v>899</v>
      </c>
      <c r="F73" s="3">
        <f t="shared" si="10"/>
        <v>390</v>
      </c>
      <c r="G73" s="4">
        <f t="shared" si="11"/>
        <v>0.43381535038932145</v>
      </c>
      <c r="H73" s="4" t="str">
        <f t="shared" si="12"/>
        <v>High Discount</v>
      </c>
      <c r="I73" s="4" t="str" cm="1">
        <f t="array" ref="I73">_xlfn.IFS(G73&lt;0.2,"Low Discount",G73&lt;=0.4,"Medium Discount",G73&gt;0.4,"High Discount")</f>
        <v>High Discount</v>
      </c>
      <c r="J73" s="11">
        <v>-5</v>
      </c>
      <c r="K73">
        <f t="shared" si="13"/>
        <v>5</v>
      </c>
      <c r="L73" s="11" t="s">
        <v>189</v>
      </c>
      <c r="M73" s="5">
        <f t="shared" si="14"/>
        <v>3</v>
      </c>
      <c r="N73" t="str">
        <f t="shared" si="15"/>
        <v>Average</v>
      </c>
      <c r="O73" t="str" cm="1">
        <f t="array" ref="O73">_xlfn.IFS(M73="Not Provided","Not Provided",M73&lt;3,"Poor",M73&lt;=4.4,"Average",M73&gt;=4.5,"Excellent")</f>
        <v>Average</v>
      </c>
    </row>
    <row r="74" spans="1:15" x14ac:dyDescent="0.25">
      <c r="A74" t="s">
        <v>227</v>
      </c>
      <c r="B74" s="11" t="s">
        <v>228</v>
      </c>
      <c r="C74" s="3">
        <f t="shared" si="9"/>
        <v>968</v>
      </c>
      <c r="D74" s="11" t="s">
        <v>207</v>
      </c>
      <c r="E74" s="3">
        <f t="shared" si="16"/>
        <v>1814</v>
      </c>
      <c r="F74" s="3">
        <f t="shared" si="10"/>
        <v>846</v>
      </c>
      <c r="G74" s="4">
        <f t="shared" si="11"/>
        <v>0.46637265711135611</v>
      </c>
      <c r="H74" s="4" t="str">
        <f t="shared" si="12"/>
        <v>High Discount</v>
      </c>
      <c r="I74" s="4" t="str" cm="1">
        <f t="array" ref="I74">_xlfn.IFS(G74&lt;0.2,"Low Discount",G74&lt;=0.4,"Medium Discount",G74&gt;0.4,"High Discount")</f>
        <v>High Discount</v>
      </c>
      <c r="J74" s="11">
        <v>-6</v>
      </c>
      <c r="K74">
        <f t="shared" si="13"/>
        <v>6</v>
      </c>
      <c r="L74" s="11" t="s">
        <v>208</v>
      </c>
      <c r="M74" s="5">
        <f t="shared" si="14"/>
        <v>2.2000000000000002</v>
      </c>
      <c r="N74" t="str">
        <f t="shared" si="15"/>
        <v>Poor</v>
      </c>
      <c r="O74" t="str" cm="1">
        <f t="array" ref="O74">_xlfn.IFS(M74="Not Provided","Not Provided",M74&lt;3,"Poor",M74&lt;=4.4,"Average",M74&gt;=4.5,"Excellent")</f>
        <v>Poor</v>
      </c>
    </row>
    <row r="75" spans="1:15" x14ac:dyDescent="0.25">
      <c r="A75" t="s">
        <v>229</v>
      </c>
      <c r="B75" s="11" t="s">
        <v>230</v>
      </c>
      <c r="C75" s="3">
        <f t="shared" si="9"/>
        <v>1570</v>
      </c>
      <c r="D75" s="11" t="s">
        <v>231</v>
      </c>
      <c r="E75" s="3">
        <f t="shared" si="16"/>
        <v>2988</v>
      </c>
      <c r="F75" s="3">
        <f t="shared" si="10"/>
        <v>1418</v>
      </c>
      <c r="G75" s="4">
        <f t="shared" si="11"/>
        <v>0.4745649263721553</v>
      </c>
      <c r="H75" s="4" t="str">
        <f t="shared" si="12"/>
        <v>High Discount</v>
      </c>
      <c r="I75" s="4" t="str" cm="1">
        <f t="array" ref="I75">_xlfn.IFS(G75&lt;0.2,"Low Discount",G75&lt;=0.4,"Medium Discount",G75&gt;0.4,"High Discount")</f>
        <v>High Discount</v>
      </c>
      <c r="J75" s="11">
        <v>-7</v>
      </c>
      <c r="K75">
        <f t="shared" si="13"/>
        <v>7</v>
      </c>
      <c r="L75" s="11" t="s">
        <v>193</v>
      </c>
      <c r="M75" s="5">
        <f t="shared" si="14"/>
        <v>2.1</v>
      </c>
      <c r="N75" t="str">
        <f t="shared" si="15"/>
        <v>Poor</v>
      </c>
      <c r="O75" t="str" cm="1">
        <f t="array" ref="O75">_xlfn.IFS(M75="Not Provided","Not Provided",M75&lt;3,"Poor",M75&lt;=4.4,"Average",M75&gt;=4.5,"Excellent")</f>
        <v>Poor</v>
      </c>
    </row>
    <row r="76" spans="1:15" x14ac:dyDescent="0.25">
      <c r="A76" t="s">
        <v>232</v>
      </c>
      <c r="B76" s="11" t="s">
        <v>233</v>
      </c>
      <c r="C76" s="3">
        <f t="shared" si="9"/>
        <v>790</v>
      </c>
      <c r="D76" s="11" t="s">
        <v>234</v>
      </c>
      <c r="E76" s="3">
        <f t="shared" si="16"/>
        <v>1485</v>
      </c>
      <c r="F76" s="3">
        <f t="shared" si="10"/>
        <v>695</v>
      </c>
      <c r="G76" s="4">
        <f t="shared" si="11"/>
        <v>0.46801346801346799</v>
      </c>
      <c r="H76" s="4" t="str">
        <f t="shared" si="12"/>
        <v>High Discount</v>
      </c>
      <c r="I76" s="4" t="str" cm="1">
        <f t="array" ref="I76">_xlfn.IFS(G76&lt;0.2,"Low Discount",G76&lt;=0.4,"Medium Discount",G76&gt;0.4,"High Discount")</f>
        <v>High Discount</v>
      </c>
      <c r="J76" s="11" t="s">
        <v>325</v>
      </c>
      <c r="K76" t="str">
        <f t="shared" si="13"/>
        <v>Not Provided</v>
      </c>
      <c r="L76" s="11" t="s">
        <v>325</v>
      </c>
      <c r="M76" s="5" t="str">
        <f t="shared" si="14"/>
        <v>Not Provided</v>
      </c>
      <c r="N76" t="str">
        <f t="shared" si="15"/>
        <v>Not Provided</v>
      </c>
      <c r="O76" t="str" cm="1">
        <f t="array" ref="O76">_xlfn.IFS(M76="Not Provided","Not Provided",M76&lt;3,"Poor",M76&lt;=4.4,"Average",M76&gt;=4.5,"Excellent")</f>
        <v>Not Provided</v>
      </c>
    </row>
    <row r="77" spans="1:15" x14ac:dyDescent="0.25">
      <c r="A77" t="s">
        <v>235</v>
      </c>
      <c r="B77" s="11" t="s">
        <v>236</v>
      </c>
      <c r="C77" s="3">
        <f t="shared" si="9"/>
        <v>690</v>
      </c>
      <c r="D77" s="11" t="s">
        <v>152</v>
      </c>
      <c r="E77" s="3">
        <f t="shared" si="16"/>
        <v>1200</v>
      </c>
      <c r="F77" s="3">
        <f t="shared" si="10"/>
        <v>510</v>
      </c>
      <c r="G77" s="4">
        <f t="shared" si="11"/>
        <v>0.42499999999999999</v>
      </c>
      <c r="H77" s="4" t="str">
        <f t="shared" si="12"/>
        <v>High Discount</v>
      </c>
      <c r="I77" s="4" t="str" cm="1">
        <f t="array" ref="I77">_xlfn.IFS(G77&lt;0.2,"Low Discount",G77&lt;=0.4,"Medium Discount",G77&gt;0.4,"High Discount")</f>
        <v>High Discount</v>
      </c>
      <c r="J77" s="11" t="s">
        <v>325</v>
      </c>
      <c r="K77" t="str">
        <f t="shared" si="13"/>
        <v>Not Provided</v>
      </c>
      <c r="L77" s="11" t="s">
        <v>325</v>
      </c>
      <c r="M77" s="5" t="str">
        <f t="shared" si="14"/>
        <v>Not Provided</v>
      </c>
      <c r="N77" t="str">
        <f t="shared" si="15"/>
        <v>Not Provided</v>
      </c>
      <c r="O77" t="str" cm="1">
        <f t="array" ref="O77">_xlfn.IFS(M77="Not Provided","Not Provided",M77&lt;3,"Poor",M77&lt;=4.4,"Average",M77&gt;=4.5,"Excellent")</f>
        <v>Not Provided</v>
      </c>
    </row>
    <row r="78" spans="1:15" x14ac:dyDescent="0.25">
      <c r="A78" t="s">
        <v>237</v>
      </c>
      <c r="B78" s="11" t="s">
        <v>238</v>
      </c>
      <c r="C78" s="3">
        <f t="shared" si="9"/>
        <v>1732</v>
      </c>
      <c r="D78" s="11" t="s">
        <v>239</v>
      </c>
      <c r="E78" s="3">
        <f t="shared" si="16"/>
        <v>1799</v>
      </c>
      <c r="F78" s="3">
        <f t="shared" si="10"/>
        <v>67</v>
      </c>
      <c r="G78" s="4">
        <f t="shared" si="11"/>
        <v>3.7242912729294052E-2</v>
      </c>
      <c r="H78" s="4" t="str">
        <f t="shared" si="12"/>
        <v>Low Discount</v>
      </c>
      <c r="I78" s="4" t="str" cm="1">
        <f t="array" ref="I78">_xlfn.IFS(G78&lt;0.2,"Low Discount",G78&lt;=0.4,"Medium Discount",G78&gt;0.4,"High Discount")</f>
        <v>Low Discount</v>
      </c>
      <c r="J78" s="11" t="s">
        <v>325</v>
      </c>
      <c r="K78" t="str">
        <f t="shared" si="13"/>
        <v>Not Provided</v>
      </c>
      <c r="L78" s="11" t="s">
        <v>325</v>
      </c>
      <c r="M78" s="5" t="str">
        <f t="shared" si="14"/>
        <v>Not Provided</v>
      </c>
      <c r="N78" t="str">
        <f t="shared" si="15"/>
        <v>Not Provided</v>
      </c>
      <c r="O78" t="str" cm="1">
        <f t="array" ref="O78">_xlfn.IFS(M78="Not Provided","Not Provided",M78&lt;3,"Poor",M78&lt;=4.4,"Average",M78&gt;=4.5,"Excellent")</f>
        <v>Not Provided</v>
      </c>
    </row>
    <row r="79" spans="1:15" x14ac:dyDescent="0.25">
      <c r="A79" t="s">
        <v>240</v>
      </c>
      <c r="B79" s="11" t="s">
        <v>241</v>
      </c>
      <c r="C79" s="3">
        <f t="shared" si="9"/>
        <v>230</v>
      </c>
      <c r="D79" s="11" t="s">
        <v>242</v>
      </c>
      <c r="E79" s="3">
        <f t="shared" si="16"/>
        <v>450</v>
      </c>
      <c r="F79" s="3">
        <f t="shared" si="10"/>
        <v>220</v>
      </c>
      <c r="G79" s="4">
        <f t="shared" si="11"/>
        <v>0.48888888888888887</v>
      </c>
      <c r="H79" s="4" t="str">
        <f t="shared" si="12"/>
        <v>High Discount</v>
      </c>
      <c r="I79" s="4" t="str" cm="1">
        <f t="array" ref="I79">_xlfn.IFS(G79&lt;0.2,"Low Discount",G79&lt;=0.4,"Medium Discount",G79&gt;0.4,"High Discount")</f>
        <v>High Discount</v>
      </c>
      <c r="J79" s="11" t="s">
        <v>325</v>
      </c>
      <c r="K79" t="str">
        <f t="shared" si="13"/>
        <v>Not Provided</v>
      </c>
      <c r="L79" s="11" t="s">
        <v>325</v>
      </c>
      <c r="M79" s="5" t="str">
        <f t="shared" si="14"/>
        <v>Not Provided</v>
      </c>
      <c r="N79" t="str">
        <f t="shared" si="15"/>
        <v>Not Provided</v>
      </c>
      <c r="O79" t="str" cm="1">
        <f t="array" ref="O79">_xlfn.IFS(M79="Not Provided","Not Provided",M79&lt;3,"Poor",M79&lt;=4.4,"Average",M79&gt;=4.5,"Excellent")</f>
        <v>Not Provided</v>
      </c>
    </row>
    <row r="80" spans="1:15" x14ac:dyDescent="0.25">
      <c r="A80" t="s">
        <v>243</v>
      </c>
      <c r="B80" s="11" t="s">
        <v>244</v>
      </c>
      <c r="C80" s="3">
        <f t="shared" si="9"/>
        <v>1189</v>
      </c>
      <c r="D80" s="11" t="s">
        <v>15</v>
      </c>
      <c r="E80" s="3">
        <f t="shared" si="16"/>
        <v>2199</v>
      </c>
      <c r="F80" s="3">
        <f t="shared" si="10"/>
        <v>1010</v>
      </c>
      <c r="G80" s="4">
        <f t="shared" si="11"/>
        <v>0.45929968167348795</v>
      </c>
      <c r="H80" s="4" t="str">
        <f t="shared" si="12"/>
        <v>High Discount</v>
      </c>
      <c r="I80" s="4" t="str" cm="1">
        <f t="array" ref="I80">_xlfn.IFS(G80&lt;0.2,"Low Discount",G80&lt;=0.4,"Medium Discount",G80&gt;0.4,"High Discount")</f>
        <v>High Discount</v>
      </c>
      <c r="J80" s="11">
        <v>-1</v>
      </c>
      <c r="K80">
        <f t="shared" si="13"/>
        <v>1</v>
      </c>
      <c r="L80" s="11" t="s">
        <v>189</v>
      </c>
      <c r="M80" s="5">
        <f t="shared" si="14"/>
        <v>3</v>
      </c>
      <c r="N80" t="str">
        <f t="shared" si="15"/>
        <v>Average</v>
      </c>
      <c r="O80" t="str" cm="1">
        <f t="array" ref="O80">_xlfn.IFS(M80="Not Provided","Not Provided",M80&lt;3,"Poor",M80&lt;=4.4,"Average",M80&gt;=4.5,"Excellent")</f>
        <v>Average</v>
      </c>
    </row>
    <row r="81" spans="1:15" x14ac:dyDescent="0.25">
      <c r="A81" t="s">
        <v>245</v>
      </c>
      <c r="B81" s="11" t="s">
        <v>246</v>
      </c>
      <c r="C81" s="3">
        <f t="shared" si="9"/>
        <v>979</v>
      </c>
      <c r="D81" s="11" t="s">
        <v>247</v>
      </c>
      <c r="E81" s="3">
        <f t="shared" si="16"/>
        <v>1920</v>
      </c>
      <c r="F81" s="3">
        <f t="shared" si="10"/>
        <v>941</v>
      </c>
      <c r="G81" s="4">
        <f t="shared" si="11"/>
        <v>0.49010416666666667</v>
      </c>
      <c r="H81" s="4" t="str">
        <f t="shared" si="12"/>
        <v>High Discount</v>
      </c>
      <c r="I81" s="4" t="str" cm="1">
        <f t="array" ref="I81">_xlfn.IFS(G81&lt;0.2,"Low Discount",G81&lt;=0.4,"Medium Discount",G81&gt;0.4,"High Discount")</f>
        <v>High Discount</v>
      </c>
      <c r="J81" s="11">
        <v>-1</v>
      </c>
      <c r="K81">
        <f t="shared" si="13"/>
        <v>1</v>
      </c>
      <c r="L81" s="11" t="s">
        <v>59</v>
      </c>
      <c r="M81" s="5">
        <f t="shared" si="14"/>
        <v>5</v>
      </c>
      <c r="N81" t="str">
        <f t="shared" si="15"/>
        <v>Excellent</v>
      </c>
      <c r="O81" t="str" cm="1">
        <f t="array" ref="O81">_xlfn.IFS(M81="Not Provided","Not Provided",M81&lt;3,"Poor",M81&lt;=4.4,"Average",M81&gt;=4.5,"Excellent")</f>
        <v>Excellent</v>
      </c>
    </row>
    <row r="82" spans="1:15" x14ac:dyDescent="0.25">
      <c r="A82" t="s">
        <v>248</v>
      </c>
      <c r="B82" s="11" t="s">
        <v>249</v>
      </c>
      <c r="C82" s="3">
        <f t="shared" si="9"/>
        <v>1460</v>
      </c>
      <c r="D82" s="11" t="s">
        <v>250</v>
      </c>
      <c r="E82" s="3">
        <f t="shared" si="16"/>
        <v>2290</v>
      </c>
      <c r="F82" s="3">
        <f t="shared" si="10"/>
        <v>830</v>
      </c>
      <c r="G82" s="4">
        <f t="shared" si="11"/>
        <v>0.36244541484716158</v>
      </c>
      <c r="H82" s="4" t="str">
        <f t="shared" si="12"/>
        <v>Medium Discount</v>
      </c>
      <c r="I82" s="4" t="str" cm="1">
        <f t="array" ref="I82">_xlfn.IFS(G82&lt;0.2,"Low Discount",G82&lt;=0.4,"Medium Discount",G82&gt;0.4,"High Discount")</f>
        <v>Medium Discount</v>
      </c>
      <c r="J82" s="11" t="s">
        <v>325</v>
      </c>
      <c r="K82" t="str">
        <f t="shared" si="13"/>
        <v>Not Provided</v>
      </c>
      <c r="L82" s="11" t="s">
        <v>325</v>
      </c>
      <c r="M82" s="5" t="str">
        <f t="shared" si="14"/>
        <v>Not Provided</v>
      </c>
      <c r="N82" t="str">
        <f t="shared" si="15"/>
        <v>Not Provided</v>
      </c>
      <c r="O82" t="str" cm="1">
        <f t="array" ref="O82">_xlfn.IFS(M82="Not Provided","Not Provided",M82&lt;3,"Poor",M82&lt;=4.4,"Average",M82&gt;=4.5,"Excellent")</f>
        <v>Not Provided</v>
      </c>
    </row>
    <row r="83" spans="1:15" x14ac:dyDescent="0.25">
      <c r="A83" t="s">
        <v>251</v>
      </c>
      <c r="B83" s="11" t="s">
        <v>252</v>
      </c>
      <c r="C83" s="3">
        <f t="shared" si="9"/>
        <v>1666</v>
      </c>
      <c r="D83" s="11" t="s">
        <v>162</v>
      </c>
      <c r="E83" s="3">
        <f t="shared" si="16"/>
        <v>1699</v>
      </c>
      <c r="F83" s="3">
        <f t="shared" si="10"/>
        <v>33</v>
      </c>
      <c r="G83" s="4">
        <f t="shared" si="11"/>
        <v>1.9423190111830489E-2</v>
      </c>
      <c r="H83" s="4" t="str">
        <f t="shared" si="12"/>
        <v>Low Discount</v>
      </c>
      <c r="I83" s="4" t="str" cm="1">
        <f t="array" ref="I83">_xlfn.IFS(G83&lt;0.2,"Low Discount",G83&lt;=0.4,"Medium Discount",G83&gt;0.4,"High Discount")</f>
        <v>Low Discount</v>
      </c>
      <c r="J83" s="11" t="s">
        <v>325</v>
      </c>
      <c r="K83" t="str">
        <f t="shared" si="13"/>
        <v>Not Provided</v>
      </c>
      <c r="L83" s="11" t="s">
        <v>325</v>
      </c>
      <c r="M83" s="5" t="str">
        <f t="shared" si="14"/>
        <v>Not Provided</v>
      </c>
      <c r="N83" t="str">
        <f t="shared" si="15"/>
        <v>Not Provided</v>
      </c>
      <c r="O83" t="str" cm="1">
        <f t="array" ref="O83">_xlfn.IFS(M83="Not Provided","Not Provided",M83&lt;3,"Poor",M83&lt;=4.4,"Average",M83&gt;=4.5,"Excellent")</f>
        <v>Not Provided</v>
      </c>
    </row>
    <row r="84" spans="1:15" x14ac:dyDescent="0.25">
      <c r="A84" t="s">
        <v>253</v>
      </c>
      <c r="B84" s="11" t="s">
        <v>254</v>
      </c>
      <c r="C84" s="3">
        <f t="shared" si="9"/>
        <v>330</v>
      </c>
      <c r="D84" s="11" t="s">
        <v>91</v>
      </c>
      <c r="E84" s="3">
        <f t="shared" si="16"/>
        <v>647</v>
      </c>
      <c r="F84" s="3">
        <f t="shared" si="10"/>
        <v>317</v>
      </c>
      <c r="G84" s="4">
        <f t="shared" si="11"/>
        <v>0.48995363214837712</v>
      </c>
      <c r="H84" s="4" t="str">
        <f t="shared" si="12"/>
        <v>High Discount</v>
      </c>
      <c r="I84" s="4" t="str" cm="1">
        <f t="array" ref="I84">_xlfn.IFS(G84&lt;0.2,"Low Discount",G84&lt;=0.4,"Medium Discount",G84&gt;0.4,"High Discount")</f>
        <v>High Discount</v>
      </c>
      <c r="J84" s="11">
        <v>-1</v>
      </c>
      <c r="K84">
        <f t="shared" si="13"/>
        <v>1</v>
      </c>
      <c r="L84" s="11" t="s">
        <v>29</v>
      </c>
      <c r="M84" s="5">
        <f t="shared" si="14"/>
        <v>4</v>
      </c>
      <c r="N84" t="str">
        <f t="shared" si="15"/>
        <v>Average</v>
      </c>
      <c r="O84" t="str" cm="1">
        <f t="array" ref="O84">_xlfn.IFS(M84="Not Provided","Not Provided",M84&lt;3,"Poor",M84&lt;=4.4,"Average",M84&gt;=4.5,"Excellent")</f>
        <v>Average</v>
      </c>
    </row>
    <row r="85" spans="1:15" x14ac:dyDescent="0.25">
      <c r="A85" t="s">
        <v>154</v>
      </c>
      <c r="B85" s="11" t="s">
        <v>255</v>
      </c>
      <c r="C85" s="3">
        <f t="shared" si="9"/>
        <v>176</v>
      </c>
      <c r="D85" s="11" t="s">
        <v>222</v>
      </c>
      <c r="E85" s="3">
        <f t="shared" si="16"/>
        <v>345</v>
      </c>
      <c r="F85" s="3">
        <f t="shared" si="10"/>
        <v>169</v>
      </c>
      <c r="G85" s="4">
        <f t="shared" si="11"/>
        <v>0.48985507246376814</v>
      </c>
      <c r="H85" s="4" t="str">
        <f t="shared" si="12"/>
        <v>High Discount</v>
      </c>
      <c r="I85" s="4" t="str" cm="1">
        <f t="array" ref="I85">_xlfn.IFS(G85&lt;0.2,"Low Discount",G85&lt;=0.4,"Medium Discount",G85&gt;0.4,"High Discount")</f>
        <v>High Discount</v>
      </c>
      <c r="J85" s="11" t="s">
        <v>325</v>
      </c>
      <c r="K85" t="str">
        <f t="shared" si="13"/>
        <v>Not Provided</v>
      </c>
      <c r="L85" s="11" t="s">
        <v>325</v>
      </c>
      <c r="M85" s="5" t="str">
        <f t="shared" si="14"/>
        <v>Not Provided</v>
      </c>
      <c r="N85" t="str">
        <f t="shared" si="15"/>
        <v>Not Provided</v>
      </c>
      <c r="O85" t="str" cm="1">
        <f t="array" ref="O85">_xlfn.IFS(M85="Not Provided","Not Provided",M85&lt;3,"Poor",M85&lt;=4.4,"Average",M85&gt;=4.5,"Excellent")</f>
        <v>Not Provided</v>
      </c>
    </row>
    <row r="86" spans="1:15" x14ac:dyDescent="0.25">
      <c r="A86" t="s">
        <v>256</v>
      </c>
      <c r="B86" s="11" t="s">
        <v>257</v>
      </c>
      <c r="C86" s="3">
        <f t="shared" si="9"/>
        <v>1466</v>
      </c>
      <c r="D86" s="11" t="s">
        <v>162</v>
      </c>
      <c r="E86" s="3">
        <f t="shared" si="16"/>
        <v>1699</v>
      </c>
      <c r="F86" s="3">
        <f t="shared" si="10"/>
        <v>233</v>
      </c>
      <c r="G86" s="4">
        <f t="shared" si="11"/>
        <v>0.13713949381989404</v>
      </c>
      <c r="H86" s="4" t="str">
        <f t="shared" si="12"/>
        <v>Low Discount</v>
      </c>
      <c r="I86" s="4" t="str" cm="1">
        <f t="array" ref="I86">_xlfn.IFS(G86&lt;0.2,"Low Discount",G86&lt;=0.4,"Medium Discount",G86&gt;0.4,"High Discount")</f>
        <v>Low Discount</v>
      </c>
      <c r="J86" s="11" t="s">
        <v>325</v>
      </c>
      <c r="K86" t="str">
        <f t="shared" si="13"/>
        <v>Not Provided</v>
      </c>
      <c r="L86" s="11" t="s">
        <v>325</v>
      </c>
      <c r="M86" s="5" t="str">
        <f t="shared" si="14"/>
        <v>Not Provided</v>
      </c>
      <c r="N86" t="str">
        <f t="shared" si="15"/>
        <v>Not Provided</v>
      </c>
      <c r="O86" t="str" cm="1">
        <f t="array" ref="O86">_xlfn.IFS(M86="Not Provided","Not Provided",M86&lt;3,"Poor",M86&lt;=4.4,"Average",M86&gt;=4.5,"Excellent")</f>
        <v>Not Provided</v>
      </c>
    </row>
    <row r="87" spans="1:15" x14ac:dyDescent="0.25">
      <c r="A87" t="s">
        <v>258</v>
      </c>
      <c r="B87" s="11" t="s">
        <v>259</v>
      </c>
      <c r="C87" s="3">
        <f t="shared" si="9"/>
        <v>274</v>
      </c>
      <c r="D87" s="11" t="s">
        <v>260</v>
      </c>
      <c r="E87" s="3">
        <f t="shared" si="16"/>
        <v>537</v>
      </c>
      <c r="F87" s="3">
        <f t="shared" si="10"/>
        <v>263</v>
      </c>
      <c r="G87" s="4">
        <f t="shared" si="11"/>
        <v>0.48975791433891991</v>
      </c>
      <c r="H87" s="4" t="str">
        <f t="shared" si="12"/>
        <v>High Discount</v>
      </c>
      <c r="I87" s="4" t="str" cm="1">
        <f t="array" ref="I87">_xlfn.IFS(G87&lt;0.2,"Low Discount",G87&lt;=0.4,"Medium Discount",G87&gt;0.4,"High Discount")</f>
        <v>High Discount</v>
      </c>
      <c r="J87" s="11" t="s">
        <v>325</v>
      </c>
      <c r="K87" t="str">
        <f t="shared" si="13"/>
        <v>Not Provided</v>
      </c>
      <c r="L87" s="11" t="s">
        <v>325</v>
      </c>
      <c r="M87" s="5" t="str">
        <f t="shared" si="14"/>
        <v>Not Provided</v>
      </c>
      <c r="N87" t="str">
        <f t="shared" si="15"/>
        <v>Not Provided</v>
      </c>
      <c r="O87" t="str" cm="1">
        <f t="array" ref="O87">_xlfn.IFS(M87="Not Provided","Not Provided",M87&lt;3,"Poor",M87&lt;=4.4,"Average",M87&gt;=4.5,"Excellent")</f>
        <v>Not Provided</v>
      </c>
    </row>
    <row r="88" spans="1:15" x14ac:dyDescent="0.25">
      <c r="A88" t="s">
        <v>261</v>
      </c>
      <c r="B88" s="11" t="s">
        <v>43</v>
      </c>
      <c r="C88" s="3">
        <f t="shared" si="9"/>
        <v>799</v>
      </c>
      <c r="D88" s="11" t="s">
        <v>172</v>
      </c>
      <c r="E88" s="3">
        <f t="shared" si="16"/>
        <v>900</v>
      </c>
      <c r="F88" s="3">
        <f t="shared" si="10"/>
        <v>101</v>
      </c>
      <c r="G88" s="4">
        <f t="shared" si="11"/>
        <v>0.11222222222222222</v>
      </c>
      <c r="H88" s="4" t="str">
        <f t="shared" si="12"/>
        <v>Low Discount</v>
      </c>
      <c r="I88" s="4" t="str" cm="1">
        <f t="array" ref="I88">_xlfn.IFS(G88&lt;0.2,"Low Discount",G88&lt;=0.4,"Medium Discount",G88&gt;0.4,"High Discount")</f>
        <v>Low Discount</v>
      </c>
      <c r="J88" s="11" t="s">
        <v>325</v>
      </c>
      <c r="K88" t="str">
        <f t="shared" si="13"/>
        <v>Not Provided</v>
      </c>
      <c r="L88" s="11" t="s">
        <v>325</v>
      </c>
      <c r="M88" s="5" t="str">
        <f t="shared" si="14"/>
        <v>Not Provided</v>
      </c>
      <c r="N88" t="str">
        <f t="shared" si="15"/>
        <v>Not Provided</v>
      </c>
      <c r="O88" t="str" cm="1">
        <f t="array" ref="O88">_xlfn.IFS(M88="Not Provided","Not Provided",M88&lt;3,"Poor",M88&lt;=4.4,"Average",M88&gt;=4.5,"Excellent")</f>
        <v>Not Provided</v>
      </c>
    </row>
    <row r="89" spans="1:15" x14ac:dyDescent="0.25">
      <c r="A89" t="s">
        <v>175</v>
      </c>
      <c r="B89" s="11" t="s">
        <v>262</v>
      </c>
      <c r="C89" s="3">
        <f t="shared" si="9"/>
        <v>657</v>
      </c>
      <c r="D89" s="11" t="s">
        <v>263</v>
      </c>
      <c r="E89" s="3">
        <f t="shared" si="16"/>
        <v>1288</v>
      </c>
      <c r="F89" s="3">
        <f t="shared" si="10"/>
        <v>631</v>
      </c>
      <c r="G89" s="4">
        <f t="shared" si="11"/>
        <v>0.48990683229813664</v>
      </c>
      <c r="H89" s="4" t="str">
        <f t="shared" si="12"/>
        <v>High Discount</v>
      </c>
      <c r="I89" s="4" t="str" cm="1">
        <f t="array" ref="I89">_xlfn.IFS(G89&lt;0.2,"Low Discount",G89&lt;=0.4,"Medium Discount",G89&gt;0.4,"High Discount")</f>
        <v>High Discount</v>
      </c>
      <c r="J89" s="11" t="s">
        <v>325</v>
      </c>
      <c r="K89" t="str">
        <f t="shared" si="13"/>
        <v>Not Provided</v>
      </c>
      <c r="L89" s="11" t="s">
        <v>325</v>
      </c>
      <c r="M89" s="5" t="str">
        <f t="shared" si="14"/>
        <v>Not Provided</v>
      </c>
      <c r="N89" t="str">
        <f t="shared" si="15"/>
        <v>Not Provided</v>
      </c>
      <c r="O89" t="str" cm="1">
        <f t="array" ref="O89">_xlfn.IFS(M89="Not Provided","Not Provided",M89&lt;3,"Poor",M89&lt;=4.4,"Average",M89&gt;=4.5,"Excellent")</f>
        <v>Not Provided</v>
      </c>
    </row>
    <row r="90" spans="1:15" x14ac:dyDescent="0.25">
      <c r="A90" t="s">
        <v>264</v>
      </c>
      <c r="B90" s="11" t="s">
        <v>265</v>
      </c>
      <c r="C90" s="3">
        <f t="shared" si="9"/>
        <v>1468</v>
      </c>
      <c r="D90" s="11" t="s">
        <v>162</v>
      </c>
      <c r="E90" s="3">
        <f t="shared" si="16"/>
        <v>1699</v>
      </c>
      <c r="F90" s="3">
        <f t="shared" si="10"/>
        <v>231</v>
      </c>
      <c r="G90" s="4">
        <f t="shared" si="11"/>
        <v>0.13596233078281342</v>
      </c>
      <c r="H90" s="4" t="str">
        <f t="shared" si="12"/>
        <v>Low Discount</v>
      </c>
      <c r="I90" s="4" t="str" cm="1">
        <f t="array" ref="I90">_xlfn.IFS(G90&lt;0.2,"Low Discount",G90&lt;=0.4,"Medium Discount",G90&gt;0.4,"High Discount")</f>
        <v>Low Discount</v>
      </c>
      <c r="J90" s="11" t="s">
        <v>325</v>
      </c>
      <c r="K90" t="str">
        <f t="shared" si="13"/>
        <v>Not Provided</v>
      </c>
      <c r="L90" s="11" t="s">
        <v>325</v>
      </c>
      <c r="M90" s="5" t="str">
        <f t="shared" si="14"/>
        <v>Not Provided</v>
      </c>
      <c r="N90" t="str">
        <f t="shared" si="15"/>
        <v>Not Provided</v>
      </c>
      <c r="O90" t="str" cm="1">
        <f t="array" ref="O90">_xlfn.IFS(M90="Not Provided","Not Provided",M90&lt;3,"Poor",M90&lt;=4.4,"Average",M90&gt;=4.5,"Excellent")</f>
        <v>Not Provided</v>
      </c>
    </row>
    <row r="91" spans="1:15" x14ac:dyDescent="0.25">
      <c r="A91" t="s">
        <v>266</v>
      </c>
      <c r="B91" s="11" t="s">
        <v>267</v>
      </c>
      <c r="C91" s="3">
        <f t="shared" si="9"/>
        <v>630</v>
      </c>
      <c r="D91" s="11" t="s">
        <v>268</v>
      </c>
      <c r="E91" s="3">
        <f t="shared" si="16"/>
        <v>1100</v>
      </c>
      <c r="F91" s="3">
        <f t="shared" si="10"/>
        <v>470</v>
      </c>
      <c r="G91" s="4">
        <f t="shared" si="11"/>
        <v>0.42727272727272725</v>
      </c>
      <c r="H91" s="4" t="str">
        <f t="shared" si="12"/>
        <v>High Discount</v>
      </c>
      <c r="I91" s="4" t="str" cm="1">
        <f t="array" ref="I91">_xlfn.IFS(G91&lt;0.2,"Low Discount",G91&lt;=0.4,"Medium Discount",G91&gt;0.4,"High Discount")</f>
        <v>High Discount</v>
      </c>
      <c r="J91" s="11" t="s">
        <v>325</v>
      </c>
      <c r="K91" t="str">
        <f t="shared" si="13"/>
        <v>Not Provided</v>
      </c>
      <c r="L91" s="11" t="s">
        <v>325</v>
      </c>
      <c r="M91" s="5" t="str">
        <f t="shared" si="14"/>
        <v>Not Provided</v>
      </c>
      <c r="N91" t="str">
        <f t="shared" si="15"/>
        <v>Not Provided</v>
      </c>
      <c r="O91" t="str" cm="1">
        <f t="array" ref="O91">_xlfn.IFS(M91="Not Provided","Not Provided",M91&lt;3,"Poor",M91&lt;=4.4,"Average",M91&gt;=4.5,"Excellent")</f>
        <v>Not Provided</v>
      </c>
    </row>
    <row r="92" spans="1:15" x14ac:dyDescent="0.25">
      <c r="A92" t="s">
        <v>269</v>
      </c>
      <c r="B92" s="11" t="s">
        <v>270</v>
      </c>
      <c r="C92" s="3">
        <f t="shared" si="9"/>
        <v>850</v>
      </c>
      <c r="D92" s="11" t="s">
        <v>271</v>
      </c>
      <c r="E92" s="3">
        <f t="shared" si="16"/>
        <v>1700</v>
      </c>
      <c r="F92" s="3">
        <f t="shared" si="10"/>
        <v>850</v>
      </c>
      <c r="G92" s="4">
        <f t="shared" si="11"/>
        <v>0.5</v>
      </c>
      <c r="H92" s="4" t="str">
        <f t="shared" si="12"/>
        <v>High Discount</v>
      </c>
      <c r="I92" s="4" t="str" cm="1">
        <f t="array" ref="I92">_xlfn.IFS(G92&lt;0.2,"Low Discount",G92&lt;=0.4,"Medium Discount",G92&gt;0.4,"High Discount")</f>
        <v>High Discount</v>
      </c>
      <c r="J92" s="11" t="s">
        <v>325</v>
      </c>
      <c r="K92" t="str">
        <f t="shared" si="13"/>
        <v>Not Provided</v>
      </c>
      <c r="L92" s="11" t="s">
        <v>325</v>
      </c>
      <c r="M92" s="5" t="str">
        <f t="shared" si="14"/>
        <v>Not Provided</v>
      </c>
      <c r="N92" t="str">
        <f t="shared" si="15"/>
        <v>Not Provided</v>
      </c>
      <c r="O92" t="str" cm="1">
        <f t="array" ref="O92">_xlfn.IFS(M92="Not Provided","Not Provided",M92&lt;3,"Poor",M92&lt;=4.4,"Average",M92&gt;=4.5,"Excellent")</f>
        <v>Not Provided</v>
      </c>
    </row>
    <row r="93" spans="1:15" x14ac:dyDescent="0.25">
      <c r="A93" t="s">
        <v>272</v>
      </c>
      <c r="B93" s="11" t="s">
        <v>273</v>
      </c>
      <c r="C93" s="3">
        <f t="shared" si="9"/>
        <v>1300</v>
      </c>
      <c r="D93" s="11" t="s">
        <v>184</v>
      </c>
      <c r="E93" s="3">
        <f t="shared" si="16"/>
        <v>2500</v>
      </c>
      <c r="F93" s="3">
        <f t="shared" si="10"/>
        <v>1200</v>
      </c>
      <c r="G93" s="4">
        <f t="shared" si="11"/>
        <v>0.48</v>
      </c>
      <c r="H93" s="4" t="str">
        <f t="shared" si="12"/>
        <v>High Discount</v>
      </c>
      <c r="I93" s="4" t="str" cm="1">
        <f t="array" ref="I93">_xlfn.IFS(G93&lt;0.2,"Low Discount",G93&lt;=0.4,"Medium Discount",G93&gt;0.4,"High Discount")</f>
        <v>High Discount</v>
      </c>
      <c r="J93" s="11" t="s">
        <v>325</v>
      </c>
      <c r="K93" t="str">
        <f t="shared" si="13"/>
        <v>Not Provided</v>
      </c>
      <c r="L93" s="11" t="s">
        <v>325</v>
      </c>
      <c r="M93" s="5" t="str">
        <f t="shared" si="14"/>
        <v>Not Provided</v>
      </c>
      <c r="N93" t="str">
        <f t="shared" si="15"/>
        <v>Not Provided</v>
      </c>
      <c r="O93" t="str" cm="1">
        <f t="array" ref="O93">_xlfn.IFS(M93="Not Provided","Not Provided",M93&lt;3,"Poor",M93&lt;=4.4,"Average",M93&gt;=4.5,"Excellent")</f>
        <v>Not Provided</v>
      </c>
    </row>
    <row r="94" spans="1:15" x14ac:dyDescent="0.25">
      <c r="A94" t="s">
        <v>274</v>
      </c>
      <c r="B94" s="11" t="s">
        <v>275</v>
      </c>
      <c r="C94" s="3">
        <f t="shared" si="9"/>
        <v>105</v>
      </c>
      <c r="D94" s="11" t="s">
        <v>276</v>
      </c>
      <c r="E94" s="3">
        <f t="shared" si="16"/>
        <v>200</v>
      </c>
      <c r="F94" s="3">
        <f t="shared" si="10"/>
        <v>95</v>
      </c>
      <c r="G94" s="4">
        <f t="shared" si="11"/>
        <v>0.47499999999999998</v>
      </c>
      <c r="H94" s="4" t="str">
        <f t="shared" si="12"/>
        <v>High Discount</v>
      </c>
      <c r="I94" s="4" t="str" cm="1">
        <f t="array" ref="I94">_xlfn.IFS(G94&lt;0.2,"Low Discount",G94&lt;=0.4,"Medium Discount",G94&gt;0.4,"High Discount")</f>
        <v>High Discount</v>
      </c>
      <c r="J94" s="11" t="s">
        <v>325</v>
      </c>
      <c r="K94" t="str">
        <f t="shared" si="13"/>
        <v>Not Provided</v>
      </c>
      <c r="L94" s="11" t="s">
        <v>325</v>
      </c>
      <c r="M94" s="5" t="str">
        <f t="shared" si="14"/>
        <v>Not Provided</v>
      </c>
      <c r="N94" t="str">
        <f t="shared" si="15"/>
        <v>Not Provided</v>
      </c>
      <c r="O94" t="str" cm="1">
        <f t="array" ref="O94">_xlfn.IFS(M94="Not Provided","Not Provided",M94&lt;3,"Poor",M94&lt;=4.4,"Average",M94&gt;=4.5,"Excellent")</f>
        <v>Not Provided</v>
      </c>
    </row>
    <row r="95" spans="1:15" x14ac:dyDescent="0.25">
      <c r="A95" t="s">
        <v>277</v>
      </c>
      <c r="B95" s="11" t="s">
        <v>226</v>
      </c>
      <c r="C95" s="3">
        <f t="shared" si="9"/>
        <v>899</v>
      </c>
      <c r="D95" s="11" t="s">
        <v>162</v>
      </c>
      <c r="E95" s="3">
        <f t="shared" si="16"/>
        <v>1699</v>
      </c>
      <c r="F95" s="3">
        <f t="shared" si="10"/>
        <v>800</v>
      </c>
      <c r="G95" s="4">
        <f t="shared" si="11"/>
        <v>0.47086521483225424</v>
      </c>
      <c r="H95" s="4" t="str">
        <f t="shared" si="12"/>
        <v>High Discount</v>
      </c>
      <c r="I95" s="4" t="str" cm="1">
        <f t="array" ref="I95">_xlfn.IFS(G95&lt;0.2,"Low Discount",G95&lt;=0.4,"Medium Discount",G95&gt;0.4,"High Discount")</f>
        <v>High Discount</v>
      </c>
      <c r="J95" s="11" t="s">
        <v>325</v>
      </c>
      <c r="K95" t="str">
        <f t="shared" si="13"/>
        <v>Not Provided</v>
      </c>
      <c r="L95" s="11" t="s">
        <v>325</v>
      </c>
      <c r="M95" s="5" t="str">
        <f t="shared" si="14"/>
        <v>Not Provided</v>
      </c>
      <c r="N95" t="str">
        <f t="shared" si="15"/>
        <v>Not Provided</v>
      </c>
      <c r="O95" t="str" cm="1">
        <f t="array" ref="O95">_xlfn.IFS(M95="Not Provided","Not Provided",M95&lt;3,"Poor",M95&lt;=4.4,"Average",M95&gt;=4.5,"Excellent")</f>
        <v>Not Provided</v>
      </c>
    </row>
    <row r="96" spans="1:15" x14ac:dyDescent="0.25">
      <c r="A96" t="s">
        <v>278</v>
      </c>
      <c r="B96" s="11" t="s">
        <v>152</v>
      </c>
      <c r="C96" s="3">
        <f t="shared" si="9"/>
        <v>1200</v>
      </c>
      <c r="D96" s="11" t="s">
        <v>279</v>
      </c>
      <c r="E96" s="3">
        <f t="shared" si="16"/>
        <v>2400</v>
      </c>
      <c r="F96" s="3">
        <f t="shared" si="10"/>
        <v>1200</v>
      </c>
      <c r="G96" s="4">
        <f t="shared" si="11"/>
        <v>0.5</v>
      </c>
      <c r="H96" s="4" t="str">
        <f t="shared" si="12"/>
        <v>High Discount</v>
      </c>
      <c r="I96" s="4" t="str" cm="1">
        <f t="array" ref="I96">_xlfn.IFS(G96&lt;0.2,"Low Discount",G96&lt;=0.4,"Medium Discount",G96&gt;0.4,"High Discount")</f>
        <v>High Discount</v>
      </c>
      <c r="J96" s="11" t="s">
        <v>325</v>
      </c>
      <c r="K96" t="str">
        <f t="shared" si="13"/>
        <v>Not Provided</v>
      </c>
      <c r="L96" s="11" t="s">
        <v>325</v>
      </c>
      <c r="M96" s="5" t="str">
        <f t="shared" si="14"/>
        <v>Not Provided</v>
      </c>
      <c r="N96" t="str">
        <f t="shared" si="15"/>
        <v>Not Provided</v>
      </c>
      <c r="O96" t="str" cm="1">
        <f t="array" ref="O96">_xlfn.IFS(M96="Not Provided","Not Provided",M96&lt;3,"Poor",M96&lt;=4.4,"Average",M96&gt;=4.5,"Excellent")</f>
        <v>Not Provided</v>
      </c>
    </row>
    <row r="97" spans="1:15" x14ac:dyDescent="0.25">
      <c r="A97" t="s">
        <v>280</v>
      </c>
      <c r="B97" s="11" t="s">
        <v>281</v>
      </c>
      <c r="C97" s="3">
        <f t="shared" si="9"/>
        <v>1526</v>
      </c>
      <c r="D97" s="11" t="s">
        <v>161</v>
      </c>
      <c r="E97" s="3">
        <f t="shared" si="16"/>
        <v>1660</v>
      </c>
      <c r="F97" s="3">
        <f t="shared" si="10"/>
        <v>134</v>
      </c>
      <c r="G97" s="4">
        <f t="shared" si="11"/>
        <v>8.0722891566265054E-2</v>
      </c>
      <c r="H97" s="4" t="str">
        <f t="shared" si="12"/>
        <v>Low Discount</v>
      </c>
      <c r="I97" s="4" t="str" cm="1">
        <f t="array" ref="I97">_xlfn.IFS(G97&lt;0.2,"Low Discount",G97&lt;=0.4,"Medium Discount",G97&gt;0.4,"High Discount")</f>
        <v>Low Discount</v>
      </c>
      <c r="J97" s="11" t="s">
        <v>325</v>
      </c>
      <c r="K97" t="str">
        <f t="shared" si="13"/>
        <v>Not Provided</v>
      </c>
      <c r="L97" s="11" t="s">
        <v>325</v>
      </c>
      <c r="M97" s="5" t="str">
        <f t="shared" si="14"/>
        <v>Not Provided</v>
      </c>
      <c r="N97" t="str">
        <f t="shared" si="15"/>
        <v>Not Provided</v>
      </c>
      <c r="O97" t="str" cm="1">
        <f t="array" ref="O97">_xlfn.IFS(M97="Not Provided","Not Provided",M97&lt;3,"Poor",M97&lt;=4.4,"Average",M97&gt;=4.5,"Excellent")</f>
        <v>Not Provided</v>
      </c>
    </row>
    <row r="98" spans="1:15" x14ac:dyDescent="0.25">
      <c r="A98" t="s">
        <v>282</v>
      </c>
      <c r="B98" s="11" t="s">
        <v>283</v>
      </c>
      <c r="C98" s="3">
        <f t="shared" ref="C98:C113" si="17">IFERROR(VALUE(SUBSTITUTE(SUBSTITUTE(TRIM(B98),"KSh",""),",","")),0)</f>
        <v>1462</v>
      </c>
      <c r="D98" s="11" t="s">
        <v>167</v>
      </c>
      <c r="E98" s="3">
        <f t="shared" si="16"/>
        <v>1499</v>
      </c>
      <c r="F98" s="3">
        <f t="shared" si="10"/>
        <v>37</v>
      </c>
      <c r="G98" s="4">
        <f t="shared" si="11"/>
        <v>2.4683122081387593E-2</v>
      </c>
      <c r="H98" s="4" t="str">
        <f t="shared" si="12"/>
        <v>Low Discount</v>
      </c>
      <c r="I98" s="4" t="str" cm="1">
        <f t="array" ref="I98">_xlfn.IFS(G98&lt;0.2,"Low Discount",G98&lt;=0.4,"Medium Discount",G98&gt;0.4,"High Discount")</f>
        <v>Low Discount</v>
      </c>
      <c r="J98" s="11" t="s">
        <v>325</v>
      </c>
      <c r="K98" t="str">
        <f t="shared" si="13"/>
        <v>Not Provided</v>
      </c>
      <c r="L98" s="11" t="s">
        <v>325</v>
      </c>
      <c r="M98" s="5" t="str">
        <f t="shared" si="14"/>
        <v>Not Provided</v>
      </c>
      <c r="N98" t="str">
        <f t="shared" si="15"/>
        <v>Not Provided</v>
      </c>
      <c r="O98" t="str" cm="1">
        <f t="array" ref="O98">_xlfn.IFS(M98="Not Provided","Not Provided",M98&lt;3,"Poor",M98&lt;=4.4,"Average",M98&gt;=4.5,"Excellent")</f>
        <v>Not Provided</v>
      </c>
    </row>
    <row r="99" spans="1:15" x14ac:dyDescent="0.25">
      <c r="A99" t="s">
        <v>284</v>
      </c>
      <c r="B99" s="11" t="s">
        <v>285</v>
      </c>
      <c r="C99" s="3">
        <f t="shared" si="17"/>
        <v>248</v>
      </c>
      <c r="D99" s="11" t="s">
        <v>286</v>
      </c>
      <c r="E99" s="3">
        <f t="shared" si="16"/>
        <v>486</v>
      </c>
      <c r="F99" s="3">
        <f t="shared" si="10"/>
        <v>238</v>
      </c>
      <c r="G99" s="4">
        <f t="shared" si="11"/>
        <v>0.48971193415637859</v>
      </c>
      <c r="H99" s="4" t="str">
        <f t="shared" si="12"/>
        <v>High Discount</v>
      </c>
      <c r="I99" s="4" t="str" cm="1">
        <f t="array" ref="I99">_xlfn.IFS(G99&lt;0.2,"Low Discount",G99&lt;=0.4,"Medium Discount",G99&gt;0.4,"High Discount")</f>
        <v>High Discount</v>
      </c>
      <c r="J99" s="11" t="s">
        <v>325</v>
      </c>
      <c r="K99" t="str">
        <f t="shared" si="13"/>
        <v>Not Provided</v>
      </c>
      <c r="L99" s="11" t="s">
        <v>325</v>
      </c>
      <c r="M99" s="5" t="str">
        <f t="shared" si="14"/>
        <v>Not Provided</v>
      </c>
      <c r="N99" t="str">
        <f t="shared" si="15"/>
        <v>Not Provided</v>
      </c>
      <c r="O99" t="str" cm="1">
        <f t="array" ref="O99">_xlfn.IFS(M99="Not Provided","Not Provided",M99&lt;3,"Poor",M99&lt;=4.4,"Average",M99&gt;=4.5,"Excellent")</f>
        <v>Not Provided</v>
      </c>
    </row>
    <row r="100" spans="1:15" x14ac:dyDescent="0.25">
      <c r="A100" t="s">
        <v>287</v>
      </c>
      <c r="B100" s="11" t="s">
        <v>288</v>
      </c>
      <c r="C100" s="3">
        <f t="shared" si="17"/>
        <v>3546</v>
      </c>
      <c r="D100" s="11" t="s">
        <v>67</v>
      </c>
      <c r="E100" s="3">
        <f t="shared" si="16"/>
        <v>3699</v>
      </c>
      <c r="F100" s="3">
        <f t="shared" si="10"/>
        <v>153</v>
      </c>
      <c r="G100" s="4">
        <f t="shared" si="11"/>
        <v>4.1362530413625302E-2</v>
      </c>
      <c r="H100" s="4" t="str">
        <f t="shared" si="12"/>
        <v>Low Discount</v>
      </c>
      <c r="I100" s="4" t="str" cm="1">
        <f t="array" ref="I100">_xlfn.IFS(G100&lt;0.2,"Low Discount",G100&lt;=0.4,"Medium Discount",G100&gt;0.4,"High Discount")</f>
        <v>Low Discount</v>
      </c>
      <c r="J100" s="11" t="s">
        <v>325</v>
      </c>
      <c r="K100" t="str">
        <f t="shared" si="13"/>
        <v>Not Provided</v>
      </c>
      <c r="L100" s="11" t="s">
        <v>325</v>
      </c>
      <c r="M100" s="5" t="str">
        <f t="shared" si="14"/>
        <v>Not Provided</v>
      </c>
      <c r="N100" t="str">
        <f t="shared" si="15"/>
        <v>Not Provided</v>
      </c>
      <c r="O100" t="str" cm="1">
        <f t="array" ref="O100">_xlfn.IFS(M100="Not Provided","Not Provided",M100&lt;3,"Poor",M100&lt;=4.4,"Average",M100&gt;=4.5,"Excellent")</f>
        <v>Not Provided</v>
      </c>
    </row>
    <row r="101" spans="1:15" x14ac:dyDescent="0.25">
      <c r="A101" t="s">
        <v>289</v>
      </c>
      <c r="B101" s="11" t="s">
        <v>290</v>
      </c>
      <c r="C101" s="3">
        <f t="shared" si="17"/>
        <v>525</v>
      </c>
      <c r="D101" s="11" t="s">
        <v>291</v>
      </c>
      <c r="E101" s="3">
        <f t="shared" si="16"/>
        <v>1029</v>
      </c>
      <c r="F101" s="3">
        <f t="shared" si="10"/>
        <v>504</v>
      </c>
      <c r="G101" s="4">
        <f t="shared" si="11"/>
        <v>0.48979591836734693</v>
      </c>
      <c r="H101" s="4" t="str">
        <f t="shared" si="12"/>
        <v>High Discount</v>
      </c>
      <c r="I101" s="4" t="str" cm="1">
        <f t="array" ref="I101">_xlfn.IFS(G101&lt;0.2,"Low Discount",G101&lt;=0.4,"Medium Discount",G101&gt;0.4,"High Discount")</f>
        <v>High Discount</v>
      </c>
      <c r="J101" s="11" t="s">
        <v>325</v>
      </c>
      <c r="K101" t="str">
        <f t="shared" si="13"/>
        <v>Not Provided</v>
      </c>
      <c r="L101" s="11" t="s">
        <v>325</v>
      </c>
      <c r="M101" s="5" t="str">
        <f t="shared" si="14"/>
        <v>Not Provided</v>
      </c>
      <c r="N101" t="str">
        <f t="shared" si="15"/>
        <v>Not Provided</v>
      </c>
      <c r="O101" t="str" cm="1">
        <f t="array" ref="O101">_xlfn.IFS(M101="Not Provided","Not Provided",M101&lt;3,"Poor",M101&lt;=4.4,"Average",M101&gt;=4.5,"Excellent")</f>
        <v>Not Provided</v>
      </c>
    </row>
    <row r="102" spans="1:15" x14ac:dyDescent="0.25">
      <c r="A102" t="s">
        <v>292</v>
      </c>
      <c r="B102" s="11" t="s">
        <v>293</v>
      </c>
      <c r="C102" s="3">
        <f t="shared" si="17"/>
        <v>1080</v>
      </c>
      <c r="D102" s="11" t="s">
        <v>294</v>
      </c>
      <c r="E102" s="3">
        <f t="shared" si="16"/>
        <v>1874</v>
      </c>
      <c r="F102" s="3">
        <f t="shared" si="10"/>
        <v>794</v>
      </c>
      <c r="G102" s="4">
        <f t="shared" si="11"/>
        <v>0.42369263607257202</v>
      </c>
      <c r="H102" s="4" t="str">
        <f t="shared" si="12"/>
        <v>High Discount</v>
      </c>
      <c r="I102" s="4" t="str" cm="1">
        <f t="array" ref="I102">_xlfn.IFS(G102&lt;0.2,"Low Discount",G102&lt;=0.4,"Medium Discount",G102&gt;0.4,"High Discount")</f>
        <v>High Discount</v>
      </c>
      <c r="J102" s="11" t="s">
        <v>325</v>
      </c>
      <c r="K102" t="str">
        <f t="shared" si="13"/>
        <v>Not Provided</v>
      </c>
      <c r="L102" s="11" t="s">
        <v>325</v>
      </c>
      <c r="M102" s="5" t="str">
        <f t="shared" si="14"/>
        <v>Not Provided</v>
      </c>
      <c r="N102" t="str">
        <f t="shared" si="15"/>
        <v>Not Provided</v>
      </c>
      <c r="O102" t="str" cm="1">
        <f t="array" ref="O102">_xlfn.IFS(M102="Not Provided","Not Provided",M102&lt;3,"Poor",M102&lt;=4.4,"Average",M102&gt;=4.5,"Excellent")</f>
        <v>Not Provided</v>
      </c>
    </row>
    <row r="103" spans="1:15" x14ac:dyDescent="0.25">
      <c r="A103" t="s">
        <v>295</v>
      </c>
      <c r="B103" s="11" t="s">
        <v>296</v>
      </c>
      <c r="C103" s="3">
        <f t="shared" si="17"/>
        <v>3640</v>
      </c>
      <c r="D103" s="11" t="s">
        <v>297</v>
      </c>
      <c r="E103" s="3">
        <f t="shared" si="16"/>
        <v>4588</v>
      </c>
      <c r="F103" s="3">
        <f t="shared" si="10"/>
        <v>948</v>
      </c>
      <c r="G103" s="4">
        <f t="shared" si="11"/>
        <v>0.20662598081952921</v>
      </c>
      <c r="H103" s="4" t="str">
        <f t="shared" si="12"/>
        <v>Medium Discount</v>
      </c>
      <c r="I103" s="4" t="str" cm="1">
        <f t="array" ref="I103">_xlfn.IFS(G103&lt;0.2,"Low Discount",G103&lt;=0.4,"Medium Discount",G103&gt;0.4,"High Discount")</f>
        <v>Medium Discount</v>
      </c>
      <c r="J103" s="11">
        <v>-1</v>
      </c>
      <c r="K103">
        <f t="shared" si="13"/>
        <v>1</v>
      </c>
      <c r="L103" s="11" t="s">
        <v>59</v>
      </c>
      <c r="M103" s="5">
        <f t="shared" si="14"/>
        <v>5</v>
      </c>
      <c r="N103" t="str">
        <f t="shared" si="15"/>
        <v>Excellent</v>
      </c>
      <c r="O103" t="str" cm="1">
        <f t="array" ref="O103">_xlfn.IFS(M103="Not Provided","Not Provided",M103&lt;3,"Poor",M103&lt;=4.4,"Average",M103&gt;=4.5,"Excellent")</f>
        <v>Excellent</v>
      </c>
    </row>
    <row r="104" spans="1:15" x14ac:dyDescent="0.25">
      <c r="A104" t="s">
        <v>298</v>
      </c>
      <c r="B104" s="11" t="s">
        <v>299</v>
      </c>
      <c r="C104" s="3">
        <f t="shared" si="17"/>
        <v>1420</v>
      </c>
      <c r="D104" s="11" t="s">
        <v>300</v>
      </c>
      <c r="E104" s="3">
        <f t="shared" si="16"/>
        <v>2420</v>
      </c>
      <c r="F104" s="3">
        <f t="shared" si="10"/>
        <v>1000</v>
      </c>
      <c r="G104" s="4">
        <f t="shared" si="11"/>
        <v>0.41322314049586778</v>
      </c>
      <c r="H104" s="4" t="str">
        <f t="shared" si="12"/>
        <v>High Discount</v>
      </c>
      <c r="I104" s="4" t="str" cm="1">
        <f t="array" ref="I104">_xlfn.IFS(G104&lt;0.2,"Low Discount",G104&lt;=0.4,"Medium Discount",G104&gt;0.4,"High Discount")</f>
        <v>High Discount</v>
      </c>
      <c r="J104" s="11" t="s">
        <v>325</v>
      </c>
      <c r="K104" t="str">
        <f t="shared" si="13"/>
        <v>Not Provided</v>
      </c>
      <c r="L104" s="11" t="s">
        <v>325</v>
      </c>
      <c r="M104" s="5" t="str">
        <f t="shared" si="14"/>
        <v>Not Provided</v>
      </c>
      <c r="N104" t="str">
        <f t="shared" si="15"/>
        <v>Not Provided</v>
      </c>
      <c r="O104" t="str" cm="1">
        <f t="array" ref="O104">_xlfn.IFS(M104="Not Provided","Not Provided",M104&lt;3,"Poor",M104&lt;=4.4,"Average",M104&gt;=4.5,"Excellent")</f>
        <v>Not Provided</v>
      </c>
    </row>
    <row r="105" spans="1:15" x14ac:dyDescent="0.25">
      <c r="A105" t="s">
        <v>301</v>
      </c>
      <c r="B105" s="11" t="s">
        <v>302</v>
      </c>
      <c r="C105" s="3">
        <f t="shared" si="17"/>
        <v>1875</v>
      </c>
      <c r="D105" s="11" t="s">
        <v>303</v>
      </c>
      <c r="E105" s="3">
        <f t="shared" si="16"/>
        <v>1899</v>
      </c>
      <c r="F105" s="3">
        <f t="shared" si="10"/>
        <v>24</v>
      </c>
      <c r="G105" s="4">
        <f t="shared" si="11"/>
        <v>1.2638230647709321E-2</v>
      </c>
      <c r="H105" s="4" t="str">
        <f t="shared" si="12"/>
        <v>Low Discount</v>
      </c>
      <c r="I105" s="4" t="str" cm="1">
        <f t="array" ref="I105">_xlfn.IFS(G105&lt;0.2,"Low Discount",G105&lt;=0.4,"Medium Discount",G105&gt;0.4,"High Discount")</f>
        <v>Low Discount</v>
      </c>
      <c r="J105" s="11" t="s">
        <v>325</v>
      </c>
      <c r="K105" t="str">
        <f t="shared" si="13"/>
        <v>Not Provided</v>
      </c>
      <c r="L105" s="11" t="s">
        <v>325</v>
      </c>
      <c r="M105" s="5" t="str">
        <f t="shared" si="14"/>
        <v>Not Provided</v>
      </c>
      <c r="N105" t="str">
        <f t="shared" si="15"/>
        <v>Not Provided</v>
      </c>
      <c r="O105" t="str" cm="1">
        <f t="array" ref="O105">_xlfn.IFS(M105="Not Provided","Not Provided",M105&lt;3,"Poor",M105&lt;=4.4,"Average",M105&gt;=4.5,"Excellent")</f>
        <v>Not Provided</v>
      </c>
    </row>
    <row r="106" spans="1:15" x14ac:dyDescent="0.25">
      <c r="A106" t="s">
        <v>304</v>
      </c>
      <c r="B106" s="11" t="s">
        <v>305</v>
      </c>
      <c r="C106" s="3">
        <f t="shared" si="17"/>
        <v>198</v>
      </c>
      <c r="D106" s="11" t="s">
        <v>306</v>
      </c>
      <c r="E106" s="3">
        <f t="shared" si="16"/>
        <v>260</v>
      </c>
      <c r="F106" s="3">
        <f t="shared" si="10"/>
        <v>62</v>
      </c>
      <c r="G106" s="4">
        <f t="shared" si="11"/>
        <v>0.23846153846153847</v>
      </c>
      <c r="H106" s="4" t="str">
        <f t="shared" si="12"/>
        <v>Medium Discount</v>
      </c>
      <c r="I106" s="4" t="str" cm="1">
        <f t="array" ref="I106">_xlfn.IFS(G106&lt;0.2,"Low Discount",G106&lt;=0.4,"Medium Discount",G106&gt;0.4,"High Discount")</f>
        <v>Medium Discount</v>
      </c>
      <c r="J106" s="11" t="s">
        <v>325</v>
      </c>
      <c r="K106" t="str">
        <f t="shared" si="13"/>
        <v>Not Provided</v>
      </c>
      <c r="L106" s="11" t="s">
        <v>325</v>
      </c>
      <c r="M106" s="5" t="str">
        <f t="shared" si="14"/>
        <v>Not Provided</v>
      </c>
      <c r="N106" t="str">
        <f t="shared" si="15"/>
        <v>Not Provided</v>
      </c>
      <c r="O106" t="str" cm="1">
        <f t="array" ref="O106">_xlfn.IFS(M106="Not Provided","Not Provided",M106&lt;3,"Poor",M106&lt;=4.4,"Average",M106&gt;=4.5,"Excellent")</f>
        <v>Not Provided</v>
      </c>
    </row>
    <row r="107" spans="1:15" x14ac:dyDescent="0.25">
      <c r="A107" t="s">
        <v>307</v>
      </c>
      <c r="B107" s="11" t="s">
        <v>308</v>
      </c>
      <c r="C107" s="3">
        <f t="shared" si="17"/>
        <v>1150</v>
      </c>
      <c r="D107" s="11" t="s">
        <v>309</v>
      </c>
      <c r="E107" s="3">
        <f t="shared" si="16"/>
        <v>1737</v>
      </c>
      <c r="F107" s="3">
        <f t="shared" si="10"/>
        <v>587</v>
      </c>
      <c r="G107" s="4">
        <f t="shared" si="11"/>
        <v>0.3379389752446747</v>
      </c>
      <c r="H107" s="4" t="str">
        <f t="shared" si="12"/>
        <v>Medium Discount</v>
      </c>
      <c r="I107" s="4" t="str" cm="1">
        <f t="array" ref="I107">_xlfn.IFS(G107&lt;0.2,"Low Discount",G107&lt;=0.4,"Medium Discount",G107&gt;0.4,"High Discount")</f>
        <v>Medium Discount</v>
      </c>
      <c r="J107" s="11" t="s">
        <v>325</v>
      </c>
      <c r="K107" t="str">
        <f t="shared" si="13"/>
        <v>Not Provided</v>
      </c>
      <c r="L107" s="11" t="s">
        <v>325</v>
      </c>
      <c r="M107" s="5" t="str">
        <f t="shared" si="14"/>
        <v>Not Provided</v>
      </c>
      <c r="N107" t="str">
        <f t="shared" si="15"/>
        <v>Not Provided</v>
      </c>
      <c r="O107" t="str" cm="1">
        <f t="array" ref="O107">_xlfn.IFS(M107="Not Provided","Not Provided",M107&lt;3,"Poor",M107&lt;=4.4,"Average",M107&gt;=4.5,"Excellent")</f>
        <v>Not Provided</v>
      </c>
    </row>
    <row r="108" spans="1:15" x14ac:dyDescent="0.25">
      <c r="A108" t="s">
        <v>310</v>
      </c>
      <c r="B108" s="11" t="s">
        <v>146</v>
      </c>
      <c r="C108" s="3">
        <f t="shared" si="17"/>
        <v>1190</v>
      </c>
      <c r="D108" s="11" t="s">
        <v>311</v>
      </c>
      <c r="E108" s="3">
        <f t="shared" si="16"/>
        <v>1810</v>
      </c>
      <c r="F108" s="3">
        <f t="shared" si="10"/>
        <v>620</v>
      </c>
      <c r="G108" s="4">
        <f t="shared" si="11"/>
        <v>0.34254143646408841</v>
      </c>
      <c r="H108" s="4" t="str">
        <f t="shared" si="12"/>
        <v>Medium Discount</v>
      </c>
      <c r="I108" s="4" t="str" cm="1">
        <f t="array" ref="I108">_xlfn.IFS(G108&lt;0.2,"Low Discount",G108&lt;=0.4,"Medium Discount",G108&gt;0.4,"High Discount")</f>
        <v>Medium Discount</v>
      </c>
      <c r="J108" s="11" t="s">
        <v>325</v>
      </c>
      <c r="K108" t="str">
        <f t="shared" si="13"/>
        <v>Not Provided</v>
      </c>
      <c r="L108" s="11" t="s">
        <v>325</v>
      </c>
      <c r="M108" s="5" t="str">
        <f t="shared" si="14"/>
        <v>Not Provided</v>
      </c>
      <c r="N108" t="str">
        <f t="shared" si="15"/>
        <v>Not Provided</v>
      </c>
      <c r="O108" t="str" cm="1">
        <f t="array" ref="O108">_xlfn.IFS(M108="Not Provided","Not Provided",M108&lt;3,"Poor",M108&lt;=4.4,"Average",M108&gt;=4.5,"Excellent")</f>
        <v>Not Provided</v>
      </c>
    </row>
    <row r="109" spans="1:15" x14ac:dyDescent="0.25">
      <c r="A109" t="s">
        <v>312</v>
      </c>
      <c r="B109" s="11" t="s">
        <v>313</v>
      </c>
      <c r="C109" s="3">
        <f t="shared" si="17"/>
        <v>1658</v>
      </c>
      <c r="D109" s="11" t="s">
        <v>162</v>
      </c>
      <c r="E109" s="3">
        <f t="shared" si="16"/>
        <v>1699</v>
      </c>
      <c r="F109" s="3">
        <f t="shared" si="10"/>
        <v>41</v>
      </c>
      <c r="G109" s="4">
        <f t="shared" si="11"/>
        <v>2.4131842260153032E-2</v>
      </c>
      <c r="H109" s="4" t="str">
        <f t="shared" si="12"/>
        <v>Low Discount</v>
      </c>
      <c r="I109" s="4" t="str" cm="1">
        <f t="array" ref="I109">_xlfn.IFS(G109&lt;0.2,"Low Discount",G109&lt;=0.4,"Medium Discount",G109&gt;0.4,"High Discount")</f>
        <v>Low Discount</v>
      </c>
      <c r="J109" s="11" t="s">
        <v>325</v>
      </c>
      <c r="K109" t="str">
        <f t="shared" si="13"/>
        <v>Not Provided</v>
      </c>
      <c r="L109" s="11" t="s">
        <v>325</v>
      </c>
      <c r="M109" s="5" t="str">
        <f t="shared" si="14"/>
        <v>Not Provided</v>
      </c>
      <c r="N109" t="str">
        <f t="shared" si="15"/>
        <v>Not Provided</v>
      </c>
      <c r="O109" t="str" cm="1">
        <f t="array" ref="O109">_xlfn.IFS(M109="Not Provided","Not Provided",M109&lt;3,"Poor",M109&lt;=4.4,"Average",M109&gt;=4.5,"Excellent")</f>
        <v>Not Provided</v>
      </c>
    </row>
    <row r="110" spans="1:15" x14ac:dyDescent="0.25">
      <c r="A110" t="s">
        <v>314</v>
      </c>
      <c r="B110" s="11" t="s">
        <v>315</v>
      </c>
      <c r="C110" s="3">
        <f t="shared" si="17"/>
        <v>1768</v>
      </c>
      <c r="D110" s="11" t="s">
        <v>239</v>
      </c>
      <c r="E110" s="3">
        <f t="shared" si="16"/>
        <v>1799</v>
      </c>
      <c r="F110" s="3">
        <f t="shared" si="10"/>
        <v>31</v>
      </c>
      <c r="G110" s="4">
        <f t="shared" si="11"/>
        <v>1.7231795441912175E-2</v>
      </c>
      <c r="H110" s="4" t="str">
        <f t="shared" si="12"/>
        <v>Low Discount</v>
      </c>
      <c r="I110" s="4" t="str" cm="1">
        <f t="array" ref="I110">_xlfn.IFS(G110&lt;0.2,"Low Discount",G110&lt;=0.4,"Medium Discount",G110&gt;0.4,"High Discount")</f>
        <v>Low Discount</v>
      </c>
      <c r="J110" s="11" t="s">
        <v>325</v>
      </c>
      <c r="K110" t="str">
        <f t="shared" si="13"/>
        <v>Not Provided</v>
      </c>
      <c r="L110" s="11" t="s">
        <v>325</v>
      </c>
      <c r="M110" s="5" t="str">
        <f t="shared" si="14"/>
        <v>Not Provided</v>
      </c>
      <c r="N110" t="str">
        <f t="shared" si="15"/>
        <v>Not Provided</v>
      </c>
      <c r="O110" t="str" cm="1">
        <f t="array" ref="O110">_xlfn.IFS(M110="Not Provided","Not Provided",M110&lt;3,"Poor",M110&lt;=4.4,"Average",M110&gt;=4.5,"Excellent")</f>
        <v>Not Provided</v>
      </c>
    </row>
    <row r="111" spans="1:15" x14ac:dyDescent="0.25">
      <c r="A111" t="s">
        <v>316</v>
      </c>
      <c r="B111" s="11" t="s">
        <v>155</v>
      </c>
      <c r="C111" s="3">
        <f t="shared" si="17"/>
        <v>199</v>
      </c>
      <c r="D111" s="11" t="s">
        <v>317</v>
      </c>
      <c r="E111" s="3">
        <f t="shared" si="16"/>
        <v>553</v>
      </c>
      <c r="F111" s="3">
        <f t="shared" si="10"/>
        <v>354</v>
      </c>
      <c r="G111" s="4">
        <f t="shared" si="11"/>
        <v>0.64014466546112114</v>
      </c>
      <c r="H111" s="4" t="str">
        <f t="shared" si="12"/>
        <v>High Discount</v>
      </c>
      <c r="I111" s="4" t="str" cm="1">
        <f t="array" ref="I111">_xlfn.IFS(G111&lt;0.2,"Low Discount",G111&lt;=0.4,"Medium Discount",G111&gt;0.4,"High Discount")</f>
        <v>High Discount</v>
      </c>
      <c r="J111" s="11" t="s">
        <v>325</v>
      </c>
      <c r="K111" t="str">
        <f t="shared" si="13"/>
        <v>Not Provided</v>
      </c>
      <c r="L111" s="11" t="s">
        <v>325</v>
      </c>
      <c r="M111" s="5" t="str">
        <f t="shared" si="14"/>
        <v>Not Provided</v>
      </c>
      <c r="N111" t="str">
        <f t="shared" si="15"/>
        <v>Not Provided</v>
      </c>
      <c r="O111" t="str" cm="1">
        <f t="array" ref="O111">_xlfn.IFS(M111="Not Provided","Not Provided",M111&lt;3,"Poor",M111&lt;=4.4,"Average",M111&gt;=4.5,"Excellent")</f>
        <v>Not Provided</v>
      </c>
    </row>
    <row r="112" spans="1:15" x14ac:dyDescent="0.25">
      <c r="A112" t="s">
        <v>318</v>
      </c>
      <c r="B112" s="11" t="s">
        <v>242</v>
      </c>
      <c r="C112" s="3">
        <f t="shared" si="17"/>
        <v>450</v>
      </c>
      <c r="D112" s="11" t="s">
        <v>172</v>
      </c>
      <c r="E112" s="3">
        <f t="shared" si="16"/>
        <v>900</v>
      </c>
      <c r="F112" s="3">
        <f t="shared" si="10"/>
        <v>450</v>
      </c>
      <c r="G112" s="4">
        <f t="shared" si="11"/>
        <v>0.5</v>
      </c>
      <c r="H112" s="4" t="str">
        <f t="shared" si="12"/>
        <v>High Discount</v>
      </c>
      <c r="I112" s="4" t="str" cm="1">
        <f t="array" ref="I112">_xlfn.IFS(G112&lt;0.2,"Low Discount",G112&lt;=0.4,"Medium Discount",G112&gt;0.4,"High Discount")</f>
        <v>High Discount</v>
      </c>
      <c r="J112" s="11">
        <v>-1</v>
      </c>
      <c r="K112">
        <f t="shared" si="13"/>
        <v>1</v>
      </c>
      <c r="L112" s="11" t="s">
        <v>319</v>
      </c>
      <c r="M112" s="5">
        <f t="shared" si="14"/>
        <v>2</v>
      </c>
      <c r="N112" t="str">
        <f t="shared" si="15"/>
        <v>Poor</v>
      </c>
      <c r="O112" t="str" cm="1">
        <f t="array" ref="O112">_xlfn.IFS(M112="Not Provided","Not Provided",M112&lt;3,"Poor",M112&lt;=4.4,"Average",M112&gt;=4.5,"Excellent")</f>
        <v>Poor</v>
      </c>
    </row>
    <row r="113" spans="1:15" x14ac:dyDescent="0.25">
      <c r="A113" t="s">
        <v>320</v>
      </c>
      <c r="B113" s="11" t="s">
        <v>321</v>
      </c>
      <c r="C113" s="3">
        <f t="shared" si="17"/>
        <v>169</v>
      </c>
      <c r="D113" s="11" t="s">
        <v>322</v>
      </c>
      <c r="E113" s="3">
        <f t="shared" si="16"/>
        <v>320</v>
      </c>
      <c r="F113" s="3">
        <f t="shared" si="10"/>
        <v>151</v>
      </c>
      <c r="G113" s="4">
        <f t="shared" si="11"/>
        <v>0.47187499999999999</v>
      </c>
      <c r="H113" s="4" t="str">
        <f t="shared" si="12"/>
        <v>High Discount</v>
      </c>
      <c r="I113" s="4" t="str" cm="1">
        <f t="array" ref="I113">_xlfn.IFS(G113&lt;0.2,"Low Discount",G113&lt;=0.4,"Medium Discount",G113&gt;0.4,"High Discount")</f>
        <v>High Discount</v>
      </c>
      <c r="J113" s="11" t="s">
        <v>325</v>
      </c>
      <c r="K113" t="str">
        <f t="shared" si="13"/>
        <v>Not Provided</v>
      </c>
      <c r="L113" s="11" t="s">
        <v>325</v>
      </c>
      <c r="M113" s="5" t="str">
        <f t="shared" si="14"/>
        <v>Not Provided</v>
      </c>
      <c r="N113" t="str">
        <f t="shared" si="15"/>
        <v>Not Provided</v>
      </c>
      <c r="O113" t="str" cm="1">
        <f t="array" ref="O113">_xlfn.IFS(M113="Not Provided","Not Provided",M113&lt;3,"Poor",M113&lt;=4.4,"Average",M113&gt;=4.5,"Excellent")</f>
        <v>Not Provided</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488B4E-4B42-4D46-9C43-D3C0B36B4188}">
  <dimension ref="A3:B14"/>
  <sheetViews>
    <sheetView topLeftCell="B1" workbookViewId="0">
      <selection activeCell="Q15" sqref="Q15"/>
    </sheetView>
  </sheetViews>
  <sheetFormatPr defaultRowHeight="15" x14ac:dyDescent="0.25"/>
  <cols>
    <col min="1" max="1" width="65.140625" bestFit="1" customWidth="1"/>
    <col min="2" max="2" width="14.85546875" bestFit="1" customWidth="1"/>
  </cols>
  <sheetData>
    <row r="3" spans="1:2" x14ac:dyDescent="0.25">
      <c r="A3" s="15" t="s">
        <v>336</v>
      </c>
      <c r="B3" t="s">
        <v>359</v>
      </c>
    </row>
    <row r="4" spans="1:2" x14ac:dyDescent="0.25">
      <c r="A4" s="16" t="s">
        <v>194</v>
      </c>
      <c r="B4" s="21">
        <v>69</v>
      </c>
    </row>
    <row r="5" spans="1:2" x14ac:dyDescent="0.25">
      <c r="A5" s="16" t="s">
        <v>30</v>
      </c>
      <c r="B5" s="21">
        <v>55</v>
      </c>
    </row>
    <row r="6" spans="1:2" x14ac:dyDescent="0.25">
      <c r="A6" s="16" t="s">
        <v>89</v>
      </c>
      <c r="B6" s="21">
        <v>49</v>
      </c>
    </row>
    <row r="7" spans="1:2" x14ac:dyDescent="0.25">
      <c r="A7" s="16" t="s">
        <v>68</v>
      </c>
      <c r="B7" s="21">
        <v>44</v>
      </c>
    </row>
    <row r="8" spans="1:2" x14ac:dyDescent="0.25">
      <c r="A8" s="16" t="s">
        <v>44</v>
      </c>
      <c r="B8" s="21">
        <v>39</v>
      </c>
    </row>
    <row r="9" spans="1:2" x14ac:dyDescent="0.25">
      <c r="A9" s="16" t="s">
        <v>122</v>
      </c>
      <c r="B9" s="21">
        <v>36</v>
      </c>
    </row>
    <row r="10" spans="1:2" x14ac:dyDescent="0.25">
      <c r="A10" s="16" t="s">
        <v>114</v>
      </c>
      <c r="B10" s="21">
        <v>32</v>
      </c>
    </row>
    <row r="11" spans="1:2" x14ac:dyDescent="0.25">
      <c r="A11" s="16" t="s">
        <v>14</v>
      </c>
      <c r="B11" s="21">
        <v>24</v>
      </c>
    </row>
    <row r="12" spans="1:2" x14ac:dyDescent="0.25">
      <c r="A12" s="16" t="s">
        <v>111</v>
      </c>
      <c r="B12" s="21">
        <v>20</v>
      </c>
    </row>
    <row r="13" spans="1:2" x14ac:dyDescent="0.25">
      <c r="A13" s="16" t="s">
        <v>97</v>
      </c>
      <c r="B13" s="21">
        <v>20</v>
      </c>
    </row>
    <row r="14" spans="1:2" x14ac:dyDescent="0.25">
      <c r="A14" s="16" t="s">
        <v>337</v>
      </c>
      <c r="B14" s="21">
        <v>388</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CB05DC-C568-4627-9AE5-FB6CE081F31A}">
  <dimension ref="A3:B14"/>
  <sheetViews>
    <sheetView topLeftCell="B1" workbookViewId="0">
      <selection activeCell="A3" sqref="A3"/>
    </sheetView>
  </sheetViews>
  <sheetFormatPr defaultRowHeight="15" x14ac:dyDescent="0.25"/>
  <cols>
    <col min="1" max="1" width="72.28515625" bestFit="1" customWidth="1"/>
    <col min="2" max="2" width="22.42578125" bestFit="1" customWidth="1"/>
  </cols>
  <sheetData>
    <row r="3" spans="1:2" x14ac:dyDescent="0.25">
      <c r="A3" s="15" t="s">
        <v>336</v>
      </c>
      <c r="B3" t="s">
        <v>346</v>
      </c>
    </row>
    <row r="4" spans="1:2" x14ac:dyDescent="0.25">
      <c r="A4" s="16" t="s">
        <v>316</v>
      </c>
      <c r="B4" s="4">
        <v>0.64014466546112114</v>
      </c>
    </row>
    <row r="5" spans="1:2" x14ac:dyDescent="0.25">
      <c r="A5" s="16" t="s">
        <v>190</v>
      </c>
      <c r="B5" s="4">
        <v>0.55000000000000004</v>
      </c>
    </row>
    <row r="6" spans="1:2" x14ac:dyDescent="0.25">
      <c r="A6" s="16" t="s">
        <v>154</v>
      </c>
      <c r="B6" s="4">
        <v>0.54750690131124913</v>
      </c>
    </row>
    <row r="7" spans="1:2" x14ac:dyDescent="0.25">
      <c r="A7" s="16" t="s">
        <v>35</v>
      </c>
      <c r="B7" s="4">
        <v>0.54500000000000004</v>
      </c>
    </row>
    <row r="8" spans="1:2" x14ac:dyDescent="0.25">
      <c r="A8" s="16" t="s">
        <v>85</v>
      </c>
      <c r="B8" s="4">
        <v>0.54488888888888887</v>
      </c>
    </row>
    <row r="9" spans="1:2" x14ac:dyDescent="0.25">
      <c r="A9" s="16" t="s">
        <v>186</v>
      </c>
      <c r="B9" s="4">
        <v>0.53549695740365111</v>
      </c>
    </row>
    <row r="10" spans="1:2" x14ac:dyDescent="0.25">
      <c r="A10" s="16" t="s">
        <v>71</v>
      </c>
      <c r="B10" s="4">
        <v>0.52500000000000002</v>
      </c>
    </row>
    <row r="11" spans="1:2" x14ac:dyDescent="0.25">
      <c r="A11" s="16" t="s">
        <v>120</v>
      </c>
      <c r="B11" s="4">
        <v>0.52500000000000002</v>
      </c>
    </row>
    <row r="12" spans="1:2" x14ac:dyDescent="0.25">
      <c r="A12" s="16" t="s">
        <v>198</v>
      </c>
      <c r="B12" s="4">
        <v>0.5220588235294118</v>
      </c>
    </row>
    <row r="13" spans="1:2" x14ac:dyDescent="0.25">
      <c r="A13" s="16" t="s">
        <v>102</v>
      </c>
      <c r="B13" s="4">
        <v>0.51570680628272247</v>
      </c>
    </row>
    <row r="14" spans="1:2" x14ac:dyDescent="0.25">
      <c r="A14" s="16" t="s">
        <v>337</v>
      </c>
      <c r="B14" s="4">
        <v>0.54530090401711762</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A25E3-534F-422E-9567-C57FA26E0CFF}">
  <dimension ref="A1:D113"/>
  <sheetViews>
    <sheetView topLeftCell="A4" workbookViewId="0">
      <selection activeCell="H5" sqref="H5"/>
    </sheetView>
  </sheetViews>
  <sheetFormatPr defaultRowHeight="15" x14ac:dyDescent="0.25"/>
  <sheetData>
    <row r="1" spans="1:2" x14ac:dyDescent="0.25">
      <c r="A1" t="s">
        <v>332</v>
      </c>
      <c r="B1" t="s">
        <v>5</v>
      </c>
    </row>
    <row r="2" spans="1:2" x14ac:dyDescent="0.25">
      <c r="A2">
        <v>2</v>
      </c>
      <c r="B2">
        <v>4.5</v>
      </c>
    </row>
    <row r="3" spans="1:2" x14ac:dyDescent="0.25">
      <c r="A3">
        <v>14</v>
      </c>
      <c r="B3">
        <v>4.0999999999999996</v>
      </c>
    </row>
    <row r="4" spans="1:2" x14ac:dyDescent="0.25">
      <c r="A4">
        <v>24</v>
      </c>
      <c r="B4">
        <v>4.5999999999999996</v>
      </c>
    </row>
    <row r="5" spans="1:2" x14ac:dyDescent="0.25">
      <c r="A5">
        <v>7</v>
      </c>
      <c r="B5">
        <v>4.7</v>
      </c>
    </row>
    <row r="6" spans="1:2" x14ac:dyDescent="0.25">
      <c r="A6">
        <v>5</v>
      </c>
      <c r="B6">
        <v>4.8</v>
      </c>
    </row>
    <row r="7" spans="1:2" x14ac:dyDescent="0.25">
      <c r="A7">
        <v>15</v>
      </c>
      <c r="B7">
        <v>4</v>
      </c>
    </row>
    <row r="8" spans="1:2" x14ac:dyDescent="0.25">
      <c r="A8">
        <v>55</v>
      </c>
      <c r="B8">
        <v>4.5999999999999996</v>
      </c>
    </row>
    <row r="9" spans="1:2" x14ac:dyDescent="0.25">
      <c r="A9">
        <v>2</v>
      </c>
      <c r="B9">
        <v>4</v>
      </c>
    </row>
    <row r="10" spans="1:2" x14ac:dyDescent="0.25">
      <c r="A10">
        <v>5</v>
      </c>
      <c r="B10">
        <v>4.8</v>
      </c>
    </row>
    <row r="11" spans="1:2" x14ac:dyDescent="0.25">
      <c r="A11">
        <v>5</v>
      </c>
      <c r="B11">
        <v>3.8</v>
      </c>
    </row>
    <row r="12" spans="1:2" x14ac:dyDescent="0.25">
      <c r="A12">
        <v>12</v>
      </c>
      <c r="B12">
        <v>4.0999999999999996</v>
      </c>
    </row>
    <row r="13" spans="1:2" x14ac:dyDescent="0.25">
      <c r="A13">
        <v>39</v>
      </c>
      <c r="B13">
        <v>4.7</v>
      </c>
    </row>
    <row r="14" spans="1:2" x14ac:dyDescent="0.25">
      <c r="A14">
        <v>12</v>
      </c>
      <c r="B14">
        <v>4.8</v>
      </c>
    </row>
    <row r="15" spans="1:2" x14ac:dyDescent="0.25">
      <c r="A15">
        <v>6</v>
      </c>
      <c r="B15">
        <v>4.5</v>
      </c>
    </row>
    <row r="16" spans="1:2" x14ac:dyDescent="0.25">
      <c r="A16">
        <v>9</v>
      </c>
      <c r="B16">
        <v>4.2</v>
      </c>
    </row>
    <row r="17" spans="1:4" x14ac:dyDescent="0.25">
      <c r="A17">
        <v>2</v>
      </c>
      <c r="B17">
        <v>5</v>
      </c>
    </row>
    <row r="18" spans="1:4" x14ac:dyDescent="0.25">
      <c r="A18">
        <v>2</v>
      </c>
      <c r="B18">
        <v>5</v>
      </c>
    </row>
    <row r="19" spans="1:4" x14ac:dyDescent="0.25">
      <c r="A19">
        <v>3</v>
      </c>
      <c r="B19">
        <v>5</v>
      </c>
    </row>
    <row r="20" spans="1:4" x14ac:dyDescent="0.25">
      <c r="A20">
        <v>5</v>
      </c>
      <c r="B20">
        <v>4.5999999999999996</v>
      </c>
    </row>
    <row r="21" spans="1:4" x14ac:dyDescent="0.25">
      <c r="A21">
        <v>44</v>
      </c>
      <c r="B21">
        <v>4.5999999999999996</v>
      </c>
    </row>
    <row r="22" spans="1:4" x14ac:dyDescent="0.25">
      <c r="A22">
        <v>13</v>
      </c>
      <c r="B22">
        <v>3.3</v>
      </c>
    </row>
    <row r="23" spans="1:4" x14ac:dyDescent="0.25">
      <c r="A23" t="s">
        <v>325</v>
      </c>
      <c r="B23" t="s">
        <v>325</v>
      </c>
    </row>
    <row r="24" spans="1:4" x14ac:dyDescent="0.25">
      <c r="A24">
        <v>6</v>
      </c>
      <c r="B24">
        <v>4</v>
      </c>
    </row>
    <row r="25" spans="1:4" x14ac:dyDescent="0.25">
      <c r="A25">
        <v>14</v>
      </c>
      <c r="B25">
        <v>4.4000000000000004</v>
      </c>
    </row>
    <row r="26" spans="1:4" x14ac:dyDescent="0.25">
      <c r="A26">
        <v>7</v>
      </c>
      <c r="B26">
        <v>4.3</v>
      </c>
    </row>
    <row r="27" spans="1:4" x14ac:dyDescent="0.25">
      <c r="A27">
        <v>49</v>
      </c>
      <c r="B27">
        <v>4.5999999999999996</v>
      </c>
    </row>
    <row r="28" spans="1:4" x14ac:dyDescent="0.25">
      <c r="A28">
        <v>12</v>
      </c>
      <c r="B28">
        <v>3.8</v>
      </c>
    </row>
    <row r="29" spans="1:4" x14ac:dyDescent="0.25">
      <c r="A29">
        <v>13</v>
      </c>
      <c r="B29">
        <v>3.8</v>
      </c>
    </row>
    <row r="30" spans="1:4" x14ac:dyDescent="0.25">
      <c r="A30">
        <v>20</v>
      </c>
      <c r="B30">
        <v>4.0999999999999996</v>
      </c>
    </row>
    <row r="31" spans="1:4" x14ac:dyDescent="0.25">
      <c r="A31" t="s">
        <v>325</v>
      </c>
      <c r="B31" t="s">
        <v>325</v>
      </c>
    </row>
    <row r="32" spans="1:4" x14ac:dyDescent="0.25">
      <c r="A32">
        <v>9</v>
      </c>
      <c r="B32">
        <v>4.3</v>
      </c>
      <c r="D32" s="18" t="s">
        <v>356</v>
      </c>
    </row>
    <row r="33" spans="1:4" x14ac:dyDescent="0.25">
      <c r="A33">
        <v>12</v>
      </c>
      <c r="B33">
        <v>4.7</v>
      </c>
      <c r="D33" s="18" t="s">
        <v>357</v>
      </c>
    </row>
    <row r="34" spans="1:4" x14ac:dyDescent="0.25">
      <c r="A34">
        <v>9</v>
      </c>
      <c r="B34">
        <v>4.3</v>
      </c>
      <c r="D34" t="s">
        <v>358</v>
      </c>
    </row>
    <row r="35" spans="1:4" x14ac:dyDescent="0.25">
      <c r="A35">
        <v>20</v>
      </c>
      <c r="B35">
        <v>4.7</v>
      </c>
    </row>
    <row r="36" spans="1:4" x14ac:dyDescent="0.25">
      <c r="A36">
        <v>32</v>
      </c>
      <c r="B36">
        <v>4.5</v>
      </c>
    </row>
    <row r="37" spans="1:4" x14ac:dyDescent="0.25">
      <c r="A37">
        <v>1</v>
      </c>
      <c r="B37">
        <v>5</v>
      </c>
    </row>
    <row r="38" spans="1:4" x14ac:dyDescent="0.25">
      <c r="A38">
        <v>2</v>
      </c>
      <c r="B38">
        <v>5</v>
      </c>
    </row>
    <row r="39" spans="1:4" x14ac:dyDescent="0.25">
      <c r="A39">
        <v>36</v>
      </c>
      <c r="B39">
        <v>4.3</v>
      </c>
    </row>
    <row r="40" spans="1:4" x14ac:dyDescent="0.25">
      <c r="A40">
        <v>2</v>
      </c>
      <c r="B40">
        <v>4.5</v>
      </c>
    </row>
    <row r="41" spans="1:4" x14ac:dyDescent="0.25">
      <c r="A41" t="s">
        <v>325</v>
      </c>
      <c r="B41" t="s">
        <v>325</v>
      </c>
    </row>
    <row r="42" spans="1:4" x14ac:dyDescent="0.25">
      <c r="A42" t="s">
        <v>325</v>
      </c>
      <c r="B42" t="s">
        <v>325</v>
      </c>
    </row>
    <row r="43" spans="1:4" x14ac:dyDescent="0.25">
      <c r="A43" t="s">
        <v>325</v>
      </c>
      <c r="B43" t="s">
        <v>325</v>
      </c>
    </row>
    <row r="44" spans="1:4" x14ac:dyDescent="0.25">
      <c r="A44" t="s">
        <v>325</v>
      </c>
      <c r="B44" t="s">
        <v>325</v>
      </c>
    </row>
    <row r="45" spans="1:4" x14ac:dyDescent="0.25">
      <c r="A45" t="s">
        <v>325</v>
      </c>
      <c r="B45" t="s">
        <v>325</v>
      </c>
    </row>
    <row r="46" spans="1:4" x14ac:dyDescent="0.25">
      <c r="A46" t="s">
        <v>325</v>
      </c>
      <c r="B46" t="s">
        <v>325</v>
      </c>
    </row>
    <row r="47" spans="1:4" x14ac:dyDescent="0.25">
      <c r="A47" t="s">
        <v>325</v>
      </c>
      <c r="B47" t="s">
        <v>325</v>
      </c>
    </row>
    <row r="48" spans="1:4" x14ac:dyDescent="0.25">
      <c r="A48" t="s">
        <v>325</v>
      </c>
      <c r="B48" t="s">
        <v>325</v>
      </c>
    </row>
    <row r="49" spans="1:2" x14ac:dyDescent="0.25">
      <c r="A49" t="s">
        <v>325</v>
      </c>
      <c r="B49" t="s">
        <v>325</v>
      </c>
    </row>
    <row r="50" spans="1:2" x14ac:dyDescent="0.25">
      <c r="A50" t="s">
        <v>325</v>
      </c>
      <c r="B50" t="s">
        <v>325</v>
      </c>
    </row>
    <row r="51" spans="1:2" x14ac:dyDescent="0.25">
      <c r="A51" t="s">
        <v>325</v>
      </c>
      <c r="B51" t="s">
        <v>325</v>
      </c>
    </row>
    <row r="52" spans="1:2" x14ac:dyDescent="0.25">
      <c r="A52" t="s">
        <v>325</v>
      </c>
      <c r="B52" t="s">
        <v>325</v>
      </c>
    </row>
    <row r="53" spans="1:2" x14ac:dyDescent="0.25">
      <c r="A53" t="s">
        <v>325</v>
      </c>
      <c r="B53" t="s">
        <v>325</v>
      </c>
    </row>
    <row r="54" spans="1:2" x14ac:dyDescent="0.25">
      <c r="A54" t="s">
        <v>325</v>
      </c>
      <c r="B54" t="s">
        <v>325</v>
      </c>
    </row>
    <row r="55" spans="1:2" x14ac:dyDescent="0.25">
      <c r="A55" t="s">
        <v>325</v>
      </c>
      <c r="B55" t="s">
        <v>325</v>
      </c>
    </row>
    <row r="56" spans="1:2" x14ac:dyDescent="0.25">
      <c r="A56" t="s">
        <v>325</v>
      </c>
      <c r="B56" t="s">
        <v>325</v>
      </c>
    </row>
    <row r="57" spans="1:2" x14ac:dyDescent="0.25">
      <c r="A57" t="s">
        <v>325</v>
      </c>
      <c r="B57" t="s">
        <v>325</v>
      </c>
    </row>
    <row r="58" spans="1:2" x14ac:dyDescent="0.25">
      <c r="A58" t="s">
        <v>325</v>
      </c>
      <c r="B58" t="s">
        <v>325</v>
      </c>
    </row>
    <row r="59" spans="1:2" x14ac:dyDescent="0.25">
      <c r="A59" t="s">
        <v>325</v>
      </c>
      <c r="B59" t="s">
        <v>325</v>
      </c>
    </row>
    <row r="60" spans="1:2" x14ac:dyDescent="0.25">
      <c r="A60" t="s">
        <v>325</v>
      </c>
      <c r="B60" t="s">
        <v>325</v>
      </c>
    </row>
    <row r="61" spans="1:2" x14ac:dyDescent="0.25">
      <c r="A61">
        <v>6</v>
      </c>
      <c r="B61">
        <v>2.5</v>
      </c>
    </row>
    <row r="62" spans="1:2" x14ac:dyDescent="0.25">
      <c r="A62">
        <v>10</v>
      </c>
      <c r="B62">
        <v>3</v>
      </c>
    </row>
    <row r="63" spans="1:2" x14ac:dyDescent="0.25">
      <c r="A63">
        <v>13</v>
      </c>
      <c r="B63">
        <v>2.1</v>
      </c>
    </row>
    <row r="64" spans="1:2" x14ac:dyDescent="0.25">
      <c r="A64">
        <v>69</v>
      </c>
      <c r="B64">
        <v>2.8</v>
      </c>
    </row>
    <row r="65" spans="1:2" x14ac:dyDescent="0.25">
      <c r="A65">
        <v>15</v>
      </c>
      <c r="B65">
        <v>2.7</v>
      </c>
    </row>
    <row r="66" spans="1:2" x14ac:dyDescent="0.25">
      <c r="A66">
        <v>16</v>
      </c>
      <c r="B66">
        <v>2.9</v>
      </c>
    </row>
    <row r="67" spans="1:2" x14ac:dyDescent="0.25">
      <c r="A67">
        <v>6</v>
      </c>
      <c r="B67">
        <v>2.2000000000000002</v>
      </c>
    </row>
    <row r="68" spans="1:2" x14ac:dyDescent="0.25">
      <c r="A68">
        <v>7</v>
      </c>
      <c r="B68">
        <v>2.2999999999999998</v>
      </c>
    </row>
    <row r="69" spans="1:2" x14ac:dyDescent="0.25">
      <c r="A69">
        <v>5</v>
      </c>
      <c r="B69">
        <v>3</v>
      </c>
    </row>
    <row r="70" spans="1:2" x14ac:dyDescent="0.25">
      <c r="A70">
        <v>17</v>
      </c>
      <c r="B70">
        <v>2.6</v>
      </c>
    </row>
    <row r="71" spans="1:2" x14ac:dyDescent="0.25">
      <c r="A71">
        <v>5</v>
      </c>
      <c r="B71">
        <v>3</v>
      </c>
    </row>
    <row r="72" spans="1:2" x14ac:dyDescent="0.25">
      <c r="A72">
        <v>6</v>
      </c>
      <c r="B72">
        <v>2.2999999999999998</v>
      </c>
    </row>
    <row r="73" spans="1:2" x14ac:dyDescent="0.25">
      <c r="A73">
        <v>5</v>
      </c>
      <c r="B73">
        <v>3</v>
      </c>
    </row>
    <row r="74" spans="1:2" x14ac:dyDescent="0.25">
      <c r="A74">
        <v>6</v>
      </c>
      <c r="B74">
        <v>2.2000000000000002</v>
      </c>
    </row>
    <row r="75" spans="1:2" x14ac:dyDescent="0.25">
      <c r="A75">
        <v>7</v>
      </c>
      <c r="B75">
        <v>2.1</v>
      </c>
    </row>
    <row r="76" spans="1:2" x14ac:dyDescent="0.25">
      <c r="A76" t="s">
        <v>325</v>
      </c>
      <c r="B76" t="s">
        <v>325</v>
      </c>
    </row>
    <row r="77" spans="1:2" x14ac:dyDescent="0.25">
      <c r="A77" t="s">
        <v>325</v>
      </c>
      <c r="B77" t="s">
        <v>325</v>
      </c>
    </row>
    <row r="78" spans="1:2" x14ac:dyDescent="0.25">
      <c r="A78" t="s">
        <v>325</v>
      </c>
      <c r="B78" t="s">
        <v>325</v>
      </c>
    </row>
    <row r="79" spans="1:2" x14ac:dyDescent="0.25">
      <c r="A79" t="s">
        <v>325</v>
      </c>
      <c r="B79" t="s">
        <v>325</v>
      </c>
    </row>
    <row r="80" spans="1:2" x14ac:dyDescent="0.25">
      <c r="A80">
        <v>1</v>
      </c>
      <c r="B80">
        <v>3</v>
      </c>
    </row>
    <row r="81" spans="1:2" x14ac:dyDescent="0.25">
      <c r="A81">
        <v>1</v>
      </c>
      <c r="B81">
        <v>5</v>
      </c>
    </row>
    <row r="82" spans="1:2" x14ac:dyDescent="0.25">
      <c r="A82" t="s">
        <v>325</v>
      </c>
      <c r="B82" t="s">
        <v>325</v>
      </c>
    </row>
    <row r="83" spans="1:2" x14ac:dyDescent="0.25">
      <c r="A83" t="s">
        <v>325</v>
      </c>
      <c r="B83" t="s">
        <v>325</v>
      </c>
    </row>
    <row r="84" spans="1:2" x14ac:dyDescent="0.25">
      <c r="A84">
        <v>1</v>
      </c>
      <c r="B84">
        <v>4</v>
      </c>
    </row>
    <row r="85" spans="1:2" x14ac:dyDescent="0.25">
      <c r="A85" t="s">
        <v>325</v>
      </c>
      <c r="B85" t="s">
        <v>325</v>
      </c>
    </row>
    <row r="86" spans="1:2" x14ac:dyDescent="0.25">
      <c r="A86" t="s">
        <v>325</v>
      </c>
      <c r="B86" t="s">
        <v>325</v>
      </c>
    </row>
    <row r="87" spans="1:2" x14ac:dyDescent="0.25">
      <c r="A87" t="s">
        <v>325</v>
      </c>
      <c r="B87" t="s">
        <v>325</v>
      </c>
    </row>
    <row r="88" spans="1:2" x14ac:dyDescent="0.25">
      <c r="A88" t="s">
        <v>325</v>
      </c>
      <c r="B88" t="s">
        <v>325</v>
      </c>
    </row>
    <row r="89" spans="1:2" x14ac:dyDescent="0.25">
      <c r="A89" t="s">
        <v>325</v>
      </c>
      <c r="B89" t="s">
        <v>325</v>
      </c>
    </row>
    <row r="90" spans="1:2" x14ac:dyDescent="0.25">
      <c r="A90" t="s">
        <v>325</v>
      </c>
      <c r="B90" t="s">
        <v>325</v>
      </c>
    </row>
    <row r="91" spans="1:2" x14ac:dyDescent="0.25">
      <c r="A91" t="s">
        <v>325</v>
      </c>
      <c r="B91" t="s">
        <v>325</v>
      </c>
    </row>
    <row r="92" spans="1:2" x14ac:dyDescent="0.25">
      <c r="A92" t="s">
        <v>325</v>
      </c>
      <c r="B92" t="s">
        <v>325</v>
      </c>
    </row>
    <row r="93" spans="1:2" x14ac:dyDescent="0.25">
      <c r="A93" t="s">
        <v>325</v>
      </c>
      <c r="B93" t="s">
        <v>325</v>
      </c>
    </row>
    <row r="94" spans="1:2" x14ac:dyDescent="0.25">
      <c r="A94" t="s">
        <v>325</v>
      </c>
      <c r="B94" t="s">
        <v>325</v>
      </c>
    </row>
    <row r="95" spans="1:2" x14ac:dyDescent="0.25">
      <c r="A95" t="s">
        <v>325</v>
      </c>
      <c r="B95" t="s">
        <v>325</v>
      </c>
    </row>
    <row r="96" spans="1:2" x14ac:dyDescent="0.25">
      <c r="A96" t="s">
        <v>325</v>
      </c>
      <c r="B96" t="s">
        <v>325</v>
      </c>
    </row>
    <row r="97" spans="1:2" x14ac:dyDescent="0.25">
      <c r="A97" t="s">
        <v>325</v>
      </c>
      <c r="B97" t="s">
        <v>325</v>
      </c>
    </row>
    <row r="98" spans="1:2" x14ac:dyDescent="0.25">
      <c r="A98" t="s">
        <v>325</v>
      </c>
      <c r="B98" t="s">
        <v>325</v>
      </c>
    </row>
    <row r="99" spans="1:2" x14ac:dyDescent="0.25">
      <c r="A99" t="s">
        <v>325</v>
      </c>
      <c r="B99" t="s">
        <v>325</v>
      </c>
    </row>
    <row r="100" spans="1:2" x14ac:dyDescent="0.25">
      <c r="A100" t="s">
        <v>325</v>
      </c>
      <c r="B100" t="s">
        <v>325</v>
      </c>
    </row>
    <row r="101" spans="1:2" x14ac:dyDescent="0.25">
      <c r="A101" t="s">
        <v>325</v>
      </c>
      <c r="B101" t="s">
        <v>325</v>
      </c>
    </row>
    <row r="102" spans="1:2" x14ac:dyDescent="0.25">
      <c r="A102" t="s">
        <v>325</v>
      </c>
      <c r="B102" t="s">
        <v>325</v>
      </c>
    </row>
    <row r="103" spans="1:2" x14ac:dyDescent="0.25">
      <c r="A103">
        <v>1</v>
      </c>
      <c r="B103">
        <v>5</v>
      </c>
    </row>
    <row r="104" spans="1:2" x14ac:dyDescent="0.25">
      <c r="A104" t="s">
        <v>325</v>
      </c>
      <c r="B104" t="s">
        <v>325</v>
      </c>
    </row>
    <row r="105" spans="1:2" x14ac:dyDescent="0.25">
      <c r="A105" t="s">
        <v>325</v>
      </c>
      <c r="B105" t="s">
        <v>325</v>
      </c>
    </row>
    <row r="106" spans="1:2" x14ac:dyDescent="0.25">
      <c r="A106" t="s">
        <v>325</v>
      </c>
      <c r="B106" t="s">
        <v>325</v>
      </c>
    </row>
    <row r="107" spans="1:2" x14ac:dyDescent="0.25">
      <c r="A107" t="s">
        <v>325</v>
      </c>
      <c r="B107" t="s">
        <v>325</v>
      </c>
    </row>
    <row r="108" spans="1:2" x14ac:dyDescent="0.25">
      <c r="A108" t="s">
        <v>325</v>
      </c>
      <c r="B108" t="s">
        <v>325</v>
      </c>
    </row>
    <row r="109" spans="1:2" x14ac:dyDescent="0.25">
      <c r="A109" t="s">
        <v>325</v>
      </c>
      <c r="B109" t="s">
        <v>325</v>
      </c>
    </row>
    <row r="110" spans="1:2" x14ac:dyDescent="0.25">
      <c r="A110" t="s">
        <v>325</v>
      </c>
      <c r="B110" t="s">
        <v>325</v>
      </c>
    </row>
    <row r="111" spans="1:2" x14ac:dyDescent="0.25">
      <c r="A111" t="s">
        <v>325</v>
      </c>
      <c r="B111" t="s">
        <v>325</v>
      </c>
    </row>
    <row r="112" spans="1:2" x14ac:dyDescent="0.25">
      <c r="A112">
        <v>1</v>
      </c>
      <c r="B112">
        <v>2</v>
      </c>
    </row>
    <row r="113" spans="1:2" x14ac:dyDescent="0.25">
      <c r="A113" t="s">
        <v>325</v>
      </c>
      <c r="B113" t="s">
        <v>325</v>
      </c>
    </row>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12957D-A87D-4296-AF7C-3536D3509084}">
  <dimension ref="A1:D113"/>
  <sheetViews>
    <sheetView topLeftCell="B1" workbookViewId="0">
      <selection activeCell="H38" sqref="H38"/>
    </sheetView>
  </sheetViews>
  <sheetFormatPr defaultRowHeight="15" x14ac:dyDescent="0.25"/>
  <cols>
    <col min="1" max="1" width="11.85546875" style="4" bestFit="1" customWidth="1"/>
  </cols>
  <sheetData>
    <row r="1" spans="1:2" x14ac:dyDescent="0.25">
      <c r="A1" s="4" t="s">
        <v>338</v>
      </c>
      <c r="B1" t="s">
        <v>332</v>
      </c>
    </row>
    <row r="2" spans="1:2" x14ac:dyDescent="0.25">
      <c r="A2" s="4">
        <v>0.37704918032786883</v>
      </c>
      <c r="B2">
        <v>2</v>
      </c>
    </row>
    <row r="3" spans="1:2" x14ac:dyDescent="0.25">
      <c r="A3" s="4">
        <v>0.47247247247247248</v>
      </c>
      <c r="B3">
        <v>14</v>
      </c>
    </row>
    <row r="4" spans="1:2" x14ac:dyDescent="0.25">
      <c r="A4" s="4">
        <v>0.24769072870338693</v>
      </c>
      <c r="B4">
        <v>24</v>
      </c>
    </row>
    <row r="5" spans="1:2" x14ac:dyDescent="0.25">
      <c r="A5" s="4">
        <v>0.36774709883953582</v>
      </c>
      <c r="B5">
        <v>7</v>
      </c>
    </row>
    <row r="6" spans="1:2" x14ac:dyDescent="0.25">
      <c r="A6" s="4">
        <v>0.26146010186757218</v>
      </c>
      <c r="B6">
        <v>5</v>
      </c>
    </row>
    <row r="7" spans="1:2" x14ac:dyDescent="0.25">
      <c r="A7" s="4">
        <v>8.8449848024316116E-2</v>
      </c>
      <c r="B7">
        <v>15</v>
      </c>
    </row>
    <row r="8" spans="1:2" x14ac:dyDescent="0.25">
      <c r="A8" s="4">
        <v>0.23515831134564644</v>
      </c>
      <c r="B8">
        <v>55</v>
      </c>
    </row>
    <row r="9" spans="1:2" x14ac:dyDescent="0.25">
      <c r="A9" s="4">
        <v>0.37468354430379747</v>
      </c>
      <c r="B9">
        <v>2</v>
      </c>
    </row>
    <row r="10" spans="1:2" x14ac:dyDescent="0.25">
      <c r="A10" s="4">
        <v>0.54500000000000004</v>
      </c>
      <c r="B10">
        <v>5</v>
      </c>
    </row>
    <row r="11" spans="1:2" x14ac:dyDescent="0.25">
      <c r="A11" s="4">
        <v>0.45373847729600547</v>
      </c>
      <c r="B11">
        <v>5</v>
      </c>
    </row>
    <row r="12" spans="1:2" x14ac:dyDescent="0.25">
      <c r="A12" s="4">
        <v>0.20020020020020021</v>
      </c>
      <c r="B12">
        <v>12</v>
      </c>
    </row>
    <row r="13" spans="1:2" x14ac:dyDescent="0.25">
      <c r="A13" s="4">
        <v>0.34</v>
      </c>
      <c r="B13">
        <v>39</v>
      </c>
    </row>
    <row r="14" spans="1:2" x14ac:dyDescent="0.25">
      <c r="A14" s="4">
        <v>0.46666666666666667</v>
      </c>
      <c r="B14">
        <v>12</v>
      </c>
    </row>
    <row r="15" spans="1:2" x14ac:dyDescent="0.25">
      <c r="A15" s="4">
        <v>0.41744186046511628</v>
      </c>
      <c r="B15">
        <v>6</v>
      </c>
    </row>
    <row r="16" spans="1:2" x14ac:dyDescent="0.25">
      <c r="A16" s="4">
        <v>0.32773109243697479</v>
      </c>
      <c r="B16">
        <v>9</v>
      </c>
    </row>
    <row r="17" spans="1:4" x14ac:dyDescent="0.25">
      <c r="A17" s="4">
        <v>0.51461988304093564</v>
      </c>
      <c r="B17">
        <v>2</v>
      </c>
    </row>
    <row r="18" spans="1:4" x14ac:dyDescent="0.25">
      <c r="A18" s="4">
        <v>0.45833333333333331</v>
      </c>
      <c r="B18">
        <v>2</v>
      </c>
    </row>
    <row r="19" spans="1:4" x14ac:dyDescent="0.25">
      <c r="A19" s="4">
        <v>0.49005288340468395</v>
      </c>
      <c r="B19">
        <v>3</v>
      </c>
    </row>
    <row r="20" spans="1:4" x14ac:dyDescent="0.25">
      <c r="A20" s="4">
        <v>0.18924033522573669</v>
      </c>
      <c r="B20">
        <v>5</v>
      </c>
    </row>
    <row r="21" spans="1:4" x14ac:dyDescent="0.25">
      <c r="A21" s="4">
        <v>0.49237029501525942</v>
      </c>
      <c r="B21">
        <v>44</v>
      </c>
    </row>
    <row r="22" spans="1:4" x14ac:dyDescent="0.25">
      <c r="A22" s="4">
        <v>0.52500000000000002</v>
      </c>
      <c r="B22">
        <v>13</v>
      </c>
    </row>
    <row r="23" spans="1:4" x14ac:dyDescent="0.25">
      <c r="A23" s="4">
        <v>0.42236024844720499</v>
      </c>
      <c r="B23" t="s">
        <v>325</v>
      </c>
    </row>
    <row r="24" spans="1:4" x14ac:dyDescent="0.25">
      <c r="A24" s="4">
        <v>0.34814814814814815</v>
      </c>
      <c r="B24">
        <v>6</v>
      </c>
    </row>
    <row r="25" spans="1:4" x14ac:dyDescent="0.25">
      <c r="A25" s="4">
        <v>0.23255813953488372</v>
      </c>
      <c r="B25">
        <v>14</v>
      </c>
    </row>
    <row r="26" spans="1:4" x14ac:dyDescent="0.25">
      <c r="A26" s="4">
        <v>0.54488888888888887</v>
      </c>
      <c r="B26">
        <v>7</v>
      </c>
    </row>
    <row r="27" spans="1:4" x14ac:dyDescent="0.25">
      <c r="A27" s="4">
        <v>0.3508500772797527</v>
      </c>
      <c r="B27">
        <v>49</v>
      </c>
    </row>
    <row r="28" spans="1:4" x14ac:dyDescent="0.25">
      <c r="A28" s="4">
        <v>0.18181818181818182</v>
      </c>
      <c r="B28">
        <v>12</v>
      </c>
      <c r="D28" s="18" t="s">
        <v>351</v>
      </c>
    </row>
    <row r="29" spans="1:4" x14ac:dyDescent="0.25">
      <c r="A29" s="4">
        <v>0.32160804020100503</v>
      </c>
      <c r="B29">
        <v>13</v>
      </c>
      <c r="D29" s="18" t="s">
        <v>352</v>
      </c>
    </row>
    <row r="30" spans="1:4" x14ac:dyDescent="0.25">
      <c r="A30" s="4">
        <v>0.2965186074429772</v>
      </c>
      <c r="B30">
        <v>20</v>
      </c>
      <c r="D30" s="18" t="s">
        <v>353</v>
      </c>
    </row>
    <row r="31" spans="1:4" x14ac:dyDescent="0.25">
      <c r="A31" s="4">
        <v>0.46078431372549017</v>
      </c>
      <c r="B31" t="s">
        <v>325</v>
      </c>
      <c r="D31" s="18" t="s">
        <v>354</v>
      </c>
    </row>
    <row r="32" spans="1:4" x14ac:dyDescent="0.25">
      <c r="A32" s="4">
        <v>0.51570680628272247</v>
      </c>
      <c r="B32">
        <v>9</v>
      </c>
      <c r="D32" s="18" t="s">
        <v>355</v>
      </c>
    </row>
    <row r="33" spans="1:2" x14ac:dyDescent="0.25">
      <c r="A33" s="4">
        <v>0.34228187919463088</v>
      </c>
      <c r="B33">
        <v>12</v>
      </c>
    </row>
    <row r="34" spans="1:2" x14ac:dyDescent="0.25">
      <c r="A34" s="4">
        <v>0.47851002865329512</v>
      </c>
      <c r="B34">
        <v>9</v>
      </c>
    </row>
    <row r="35" spans="1:2" x14ac:dyDescent="0.25">
      <c r="A35" s="4">
        <v>0.26792452830188679</v>
      </c>
      <c r="B35">
        <v>20</v>
      </c>
    </row>
    <row r="36" spans="1:2" x14ac:dyDescent="0.25">
      <c r="A36" s="4">
        <v>0.26639496109670247</v>
      </c>
      <c r="B36">
        <v>32</v>
      </c>
    </row>
    <row r="37" spans="1:2" x14ac:dyDescent="0.25">
      <c r="A37" s="4">
        <v>0.39776951672862454</v>
      </c>
      <c r="B37">
        <v>1</v>
      </c>
    </row>
    <row r="38" spans="1:2" x14ac:dyDescent="0.25">
      <c r="A38" s="4">
        <v>0.52500000000000002</v>
      </c>
      <c r="B38">
        <v>2</v>
      </c>
    </row>
    <row r="39" spans="1:2" x14ac:dyDescent="0.25">
      <c r="A39" s="4">
        <v>0.40701219512195119</v>
      </c>
      <c r="B39">
        <v>36</v>
      </c>
    </row>
    <row r="40" spans="1:2" x14ac:dyDescent="0.25">
      <c r="A40" s="4">
        <v>0.33333333333333331</v>
      </c>
      <c r="B40">
        <v>2</v>
      </c>
    </row>
    <row r="41" spans="1:2" x14ac:dyDescent="0.25">
      <c r="A41" s="4">
        <v>0.38492507269067322</v>
      </c>
      <c r="B41" t="s">
        <v>325</v>
      </c>
    </row>
    <row r="42" spans="1:2" x14ac:dyDescent="0.25">
      <c r="A42" s="4">
        <v>0.48979591836734693</v>
      </c>
      <c r="B42" t="s">
        <v>325</v>
      </c>
    </row>
    <row r="43" spans="1:2" x14ac:dyDescent="0.25">
      <c r="A43" s="4">
        <v>0.5</v>
      </c>
      <c r="B43" t="s">
        <v>325</v>
      </c>
    </row>
    <row r="44" spans="1:2" x14ac:dyDescent="0.25">
      <c r="A44" s="4">
        <v>0.42452830188679247</v>
      </c>
      <c r="B44" t="s">
        <v>325</v>
      </c>
    </row>
    <row r="45" spans="1:2" x14ac:dyDescent="0.25">
      <c r="A45" s="4">
        <v>1.705855232826187E-2</v>
      </c>
      <c r="B45" t="s">
        <v>325</v>
      </c>
    </row>
    <row r="46" spans="1:2" x14ac:dyDescent="0.25">
      <c r="A46" s="4">
        <v>0.50049999999999994</v>
      </c>
      <c r="B46" t="s">
        <v>325</v>
      </c>
    </row>
    <row r="47" spans="1:2" x14ac:dyDescent="0.25">
      <c r="A47" s="4">
        <v>0.33333333333333331</v>
      </c>
      <c r="B47" t="s">
        <v>325</v>
      </c>
    </row>
    <row r="48" spans="1:2" x14ac:dyDescent="0.25">
      <c r="A48" s="4">
        <v>0.49012158054711247</v>
      </c>
      <c r="B48" t="s">
        <v>325</v>
      </c>
    </row>
    <row r="49" spans="1:2" x14ac:dyDescent="0.25">
      <c r="A49" s="4">
        <v>0.38461538461538464</v>
      </c>
      <c r="B49" t="s">
        <v>325</v>
      </c>
    </row>
    <row r="50" spans="1:2" x14ac:dyDescent="0.25">
      <c r="A50" s="4">
        <v>0.60515873015873012</v>
      </c>
      <c r="B50" t="s">
        <v>325</v>
      </c>
    </row>
    <row r="51" spans="1:2" x14ac:dyDescent="0.25">
      <c r="A51" s="4">
        <v>0.50166666666666671</v>
      </c>
      <c r="B51" t="s">
        <v>325</v>
      </c>
    </row>
    <row r="52" spans="1:2" x14ac:dyDescent="0.25">
      <c r="A52" s="4">
        <v>2.2954679223072396E-2</v>
      </c>
      <c r="B52" t="s">
        <v>325</v>
      </c>
    </row>
    <row r="53" spans="1:2" x14ac:dyDescent="0.25">
      <c r="A53" s="4">
        <v>0.22135416666666666</v>
      </c>
      <c r="B53" t="s">
        <v>325</v>
      </c>
    </row>
    <row r="54" spans="1:2" x14ac:dyDescent="0.25">
      <c r="A54" s="4">
        <v>2.6684456304202801E-2</v>
      </c>
      <c r="B54" t="s">
        <v>325</v>
      </c>
    </row>
    <row r="55" spans="1:2" x14ac:dyDescent="0.25">
      <c r="A55" s="4">
        <v>0.4050632911392405</v>
      </c>
      <c r="B55" t="s">
        <v>325</v>
      </c>
    </row>
    <row r="56" spans="1:2" x14ac:dyDescent="0.25">
      <c r="A56" s="4">
        <v>0.44555555555555554</v>
      </c>
      <c r="B56" t="s">
        <v>325</v>
      </c>
    </row>
    <row r="57" spans="1:2" x14ac:dyDescent="0.25">
      <c r="A57" s="4">
        <v>0.47952345495160087</v>
      </c>
      <c r="B57" t="s">
        <v>325</v>
      </c>
    </row>
    <row r="58" spans="1:2" x14ac:dyDescent="0.25">
      <c r="A58" s="4">
        <v>0.49010848755583919</v>
      </c>
      <c r="B58" t="s">
        <v>325</v>
      </c>
    </row>
    <row r="59" spans="1:2" x14ac:dyDescent="0.25">
      <c r="A59" s="4">
        <v>0.26535433070866143</v>
      </c>
      <c r="B59" t="s">
        <v>325</v>
      </c>
    </row>
    <row r="60" spans="1:2" x14ac:dyDescent="0.25">
      <c r="A60" s="4">
        <v>0.5546875</v>
      </c>
      <c r="B60" t="s">
        <v>325</v>
      </c>
    </row>
    <row r="61" spans="1:2" x14ac:dyDescent="0.25">
      <c r="A61" s="4">
        <v>0.13200000000000001</v>
      </c>
      <c r="B61">
        <v>6</v>
      </c>
    </row>
    <row r="62" spans="1:2" x14ac:dyDescent="0.25">
      <c r="A62" s="4">
        <v>0.53549695740365111</v>
      </c>
      <c r="B62">
        <v>10</v>
      </c>
    </row>
    <row r="63" spans="1:2" x14ac:dyDescent="0.25">
      <c r="A63" s="4">
        <v>0.55000000000000004</v>
      </c>
      <c r="B63">
        <v>13</v>
      </c>
    </row>
    <row r="64" spans="1:2" x14ac:dyDescent="0.25">
      <c r="A64" s="4">
        <v>0.49026345933562426</v>
      </c>
      <c r="B64">
        <v>69</v>
      </c>
    </row>
    <row r="65" spans="1:2" x14ac:dyDescent="0.25">
      <c r="A65" s="4">
        <v>0.5220588235294118</v>
      </c>
      <c r="B65">
        <v>15</v>
      </c>
    </row>
    <row r="66" spans="1:2" x14ac:dyDescent="0.25">
      <c r="A66" s="4">
        <v>0.21543408360128619</v>
      </c>
      <c r="B66">
        <v>16</v>
      </c>
    </row>
    <row r="67" spans="1:2" x14ac:dyDescent="0.25">
      <c r="A67" s="4">
        <v>0.45424476295479604</v>
      </c>
      <c r="B67">
        <v>6</v>
      </c>
    </row>
    <row r="68" spans="1:2" x14ac:dyDescent="0.25">
      <c r="A68" s="4">
        <v>0.5</v>
      </c>
      <c r="B68">
        <v>7</v>
      </c>
    </row>
    <row r="69" spans="1:2" x14ac:dyDescent="0.25">
      <c r="A69" s="4">
        <v>0.38954908025394758</v>
      </c>
      <c r="B69">
        <v>5</v>
      </c>
    </row>
    <row r="70" spans="1:2" x14ac:dyDescent="0.25">
      <c r="A70" s="4">
        <v>0.45428571428571429</v>
      </c>
      <c r="B70">
        <v>17</v>
      </c>
    </row>
    <row r="71" spans="1:2" x14ac:dyDescent="0.25">
      <c r="A71" s="4">
        <v>0.29012345679012347</v>
      </c>
      <c r="B71">
        <v>5</v>
      </c>
    </row>
    <row r="72" spans="1:2" x14ac:dyDescent="0.25">
      <c r="A72" s="4">
        <v>0.42691029900332228</v>
      </c>
      <c r="B72">
        <v>6</v>
      </c>
    </row>
    <row r="73" spans="1:2" x14ac:dyDescent="0.25">
      <c r="A73" s="4">
        <v>0.43381535038932145</v>
      </c>
      <c r="B73">
        <v>5</v>
      </c>
    </row>
    <row r="74" spans="1:2" x14ac:dyDescent="0.25">
      <c r="A74" s="4">
        <v>0.46637265711135611</v>
      </c>
      <c r="B74">
        <v>6</v>
      </c>
    </row>
    <row r="75" spans="1:2" x14ac:dyDescent="0.25">
      <c r="A75" s="4">
        <v>0.4745649263721553</v>
      </c>
      <c r="B75">
        <v>7</v>
      </c>
    </row>
    <row r="76" spans="1:2" x14ac:dyDescent="0.25">
      <c r="A76" s="4">
        <v>0.46801346801346799</v>
      </c>
      <c r="B76" t="s">
        <v>325</v>
      </c>
    </row>
    <row r="77" spans="1:2" x14ac:dyDescent="0.25">
      <c r="A77" s="4">
        <v>0.42499999999999999</v>
      </c>
      <c r="B77" t="s">
        <v>325</v>
      </c>
    </row>
    <row r="78" spans="1:2" x14ac:dyDescent="0.25">
      <c r="A78" s="4">
        <v>3.7242912729294052E-2</v>
      </c>
      <c r="B78" t="s">
        <v>325</v>
      </c>
    </row>
    <row r="79" spans="1:2" x14ac:dyDescent="0.25">
      <c r="A79" s="4">
        <v>0.48888888888888887</v>
      </c>
      <c r="B79" t="s">
        <v>325</v>
      </c>
    </row>
    <row r="80" spans="1:2" x14ac:dyDescent="0.25">
      <c r="A80" s="4">
        <v>0.45929968167348795</v>
      </c>
      <c r="B80">
        <v>1</v>
      </c>
    </row>
    <row r="81" spans="1:2" x14ac:dyDescent="0.25">
      <c r="A81" s="4">
        <v>0.49010416666666667</v>
      </c>
      <c r="B81">
        <v>1</v>
      </c>
    </row>
    <row r="82" spans="1:2" x14ac:dyDescent="0.25">
      <c r="A82" s="4">
        <v>0.36244541484716158</v>
      </c>
      <c r="B82" t="s">
        <v>325</v>
      </c>
    </row>
    <row r="83" spans="1:2" x14ac:dyDescent="0.25">
      <c r="A83" s="4">
        <v>1.9423190111830489E-2</v>
      </c>
      <c r="B83" t="s">
        <v>325</v>
      </c>
    </row>
    <row r="84" spans="1:2" x14ac:dyDescent="0.25">
      <c r="A84" s="4">
        <v>0.48995363214837712</v>
      </c>
      <c r="B84">
        <v>1</v>
      </c>
    </row>
    <row r="85" spans="1:2" x14ac:dyDescent="0.25">
      <c r="A85" s="4">
        <v>0.48985507246376814</v>
      </c>
      <c r="B85" t="s">
        <v>325</v>
      </c>
    </row>
    <row r="86" spans="1:2" x14ac:dyDescent="0.25">
      <c r="A86" s="4">
        <v>0.13713949381989404</v>
      </c>
      <c r="B86" t="s">
        <v>325</v>
      </c>
    </row>
    <row r="87" spans="1:2" x14ac:dyDescent="0.25">
      <c r="A87" s="4">
        <v>0.48975791433891991</v>
      </c>
      <c r="B87" t="s">
        <v>325</v>
      </c>
    </row>
    <row r="88" spans="1:2" x14ac:dyDescent="0.25">
      <c r="A88" s="4">
        <v>0.11222222222222222</v>
      </c>
      <c r="B88" t="s">
        <v>325</v>
      </c>
    </row>
    <row r="89" spans="1:2" x14ac:dyDescent="0.25">
      <c r="A89" s="4">
        <v>0.48990683229813664</v>
      </c>
      <c r="B89" t="s">
        <v>325</v>
      </c>
    </row>
    <row r="90" spans="1:2" x14ac:dyDescent="0.25">
      <c r="A90" s="4">
        <v>0.13596233078281342</v>
      </c>
      <c r="B90" t="s">
        <v>325</v>
      </c>
    </row>
    <row r="91" spans="1:2" x14ac:dyDescent="0.25">
      <c r="A91" s="4">
        <v>0.42727272727272725</v>
      </c>
      <c r="B91" t="s">
        <v>325</v>
      </c>
    </row>
    <row r="92" spans="1:2" x14ac:dyDescent="0.25">
      <c r="A92" s="4">
        <v>0.5</v>
      </c>
      <c r="B92" t="s">
        <v>325</v>
      </c>
    </row>
    <row r="93" spans="1:2" x14ac:dyDescent="0.25">
      <c r="A93" s="4">
        <v>0.48</v>
      </c>
      <c r="B93" t="s">
        <v>325</v>
      </c>
    </row>
    <row r="94" spans="1:2" x14ac:dyDescent="0.25">
      <c r="A94" s="4">
        <v>0.47499999999999998</v>
      </c>
      <c r="B94" t="s">
        <v>325</v>
      </c>
    </row>
    <row r="95" spans="1:2" x14ac:dyDescent="0.25">
      <c r="A95" s="4">
        <v>0.47086521483225424</v>
      </c>
      <c r="B95" t="s">
        <v>325</v>
      </c>
    </row>
    <row r="96" spans="1:2" x14ac:dyDescent="0.25">
      <c r="A96" s="4">
        <v>0.5</v>
      </c>
      <c r="B96" t="s">
        <v>325</v>
      </c>
    </row>
    <row r="97" spans="1:2" x14ac:dyDescent="0.25">
      <c r="A97" s="4">
        <v>8.0722891566265054E-2</v>
      </c>
      <c r="B97" t="s">
        <v>325</v>
      </c>
    </row>
    <row r="98" spans="1:2" x14ac:dyDescent="0.25">
      <c r="A98" s="4">
        <v>2.4683122081387593E-2</v>
      </c>
      <c r="B98" t="s">
        <v>325</v>
      </c>
    </row>
    <row r="99" spans="1:2" x14ac:dyDescent="0.25">
      <c r="A99" s="4">
        <v>0.48971193415637859</v>
      </c>
      <c r="B99" t="s">
        <v>325</v>
      </c>
    </row>
    <row r="100" spans="1:2" x14ac:dyDescent="0.25">
      <c r="A100" s="4">
        <v>4.1362530413625302E-2</v>
      </c>
      <c r="B100" t="s">
        <v>325</v>
      </c>
    </row>
    <row r="101" spans="1:2" x14ac:dyDescent="0.25">
      <c r="A101" s="4">
        <v>0.48979591836734693</v>
      </c>
      <c r="B101" t="s">
        <v>325</v>
      </c>
    </row>
    <row r="102" spans="1:2" x14ac:dyDescent="0.25">
      <c r="A102" s="4">
        <v>0.42369263607257202</v>
      </c>
      <c r="B102" t="s">
        <v>325</v>
      </c>
    </row>
    <row r="103" spans="1:2" x14ac:dyDescent="0.25">
      <c r="A103" s="4">
        <v>0.20662598081952921</v>
      </c>
      <c r="B103">
        <v>1</v>
      </c>
    </row>
    <row r="104" spans="1:2" x14ac:dyDescent="0.25">
      <c r="A104" s="4">
        <v>0.41322314049586778</v>
      </c>
      <c r="B104" t="s">
        <v>325</v>
      </c>
    </row>
    <row r="105" spans="1:2" x14ac:dyDescent="0.25">
      <c r="A105" s="4">
        <v>1.2638230647709321E-2</v>
      </c>
      <c r="B105" t="s">
        <v>325</v>
      </c>
    </row>
    <row r="106" spans="1:2" x14ac:dyDescent="0.25">
      <c r="A106" s="4">
        <v>0.23846153846153847</v>
      </c>
      <c r="B106" t="s">
        <v>325</v>
      </c>
    </row>
    <row r="107" spans="1:2" x14ac:dyDescent="0.25">
      <c r="A107" s="4">
        <v>0.3379389752446747</v>
      </c>
      <c r="B107" t="s">
        <v>325</v>
      </c>
    </row>
    <row r="108" spans="1:2" x14ac:dyDescent="0.25">
      <c r="A108" s="4">
        <v>0.34254143646408841</v>
      </c>
      <c r="B108" t="s">
        <v>325</v>
      </c>
    </row>
    <row r="109" spans="1:2" x14ac:dyDescent="0.25">
      <c r="A109" s="4">
        <v>2.4131842260153032E-2</v>
      </c>
      <c r="B109" t="s">
        <v>325</v>
      </c>
    </row>
    <row r="110" spans="1:2" x14ac:dyDescent="0.25">
      <c r="A110" s="4">
        <v>1.7231795441912175E-2</v>
      </c>
      <c r="B110" t="s">
        <v>325</v>
      </c>
    </row>
    <row r="111" spans="1:2" x14ac:dyDescent="0.25">
      <c r="A111" s="4">
        <v>0.64014466546112114</v>
      </c>
      <c r="B111" t="s">
        <v>325</v>
      </c>
    </row>
    <row r="112" spans="1:2" x14ac:dyDescent="0.25">
      <c r="A112" s="4">
        <v>0.5</v>
      </c>
      <c r="B112">
        <v>1</v>
      </c>
    </row>
    <row r="113" spans="1:2" x14ac:dyDescent="0.25">
      <c r="A113" s="4">
        <v>0.47187499999999999</v>
      </c>
      <c r="B113" t="s">
        <v>325</v>
      </c>
    </row>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33DFB-8A33-4A57-8BFE-06019D9023F6}">
  <dimension ref="A3:D4"/>
  <sheetViews>
    <sheetView workbookViewId="0">
      <selection activeCell="D32" sqref="D32"/>
    </sheetView>
  </sheetViews>
  <sheetFormatPr defaultRowHeight="15" x14ac:dyDescent="0.25"/>
  <cols>
    <col min="1" max="1" width="23.28515625" bestFit="1" customWidth="1"/>
    <col min="2" max="2" width="19.28515625" bestFit="1" customWidth="1"/>
    <col min="3" max="3" width="22.42578125" bestFit="1" customWidth="1"/>
    <col min="4" max="4" width="16.7109375" bestFit="1" customWidth="1"/>
  </cols>
  <sheetData>
    <row r="3" spans="1:4" x14ac:dyDescent="0.25">
      <c r="A3" t="s">
        <v>344</v>
      </c>
      <c r="B3" t="s">
        <v>345</v>
      </c>
      <c r="C3" t="s">
        <v>346</v>
      </c>
      <c r="D3" t="s">
        <v>347</v>
      </c>
    </row>
    <row r="4" spans="1:4" x14ac:dyDescent="0.25">
      <c r="A4" s="3">
        <v>1186.8928571428571</v>
      </c>
      <c r="B4" s="3">
        <v>1811.1071428571429</v>
      </c>
      <c r="C4" s="4">
        <v>0.36714123251752773</v>
      </c>
      <c r="D4" s="21">
        <v>3.8894736842105258</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43D5C6-EECF-40AA-B98C-5310109BA128}">
  <dimension ref="A3:B113"/>
  <sheetViews>
    <sheetView workbookViewId="0">
      <selection activeCell="F30" sqref="F30"/>
    </sheetView>
  </sheetViews>
  <sheetFormatPr defaultRowHeight="15" x14ac:dyDescent="0.25"/>
  <cols>
    <col min="1" max="1" width="95" bestFit="1" customWidth="1"/>
    <col min="2" max="2" width="19.5703125" bestFit="1" customWidth="1"/>
  </cols>
  <sheetData>
    <row r="3" spans="1:2" x14ac:dyDescent="0.25">
      <c r="A3" s="15" t="s">
        <v>336</v>
      </c>
      <c r="B3" t="s">
        <v>348</v>
      </c>
    </row>
    <row r="4" spans="1:2" x14ac:dyDescent="0.25">
      <c r="A4" s="16" t="s">
        <v>125</v>
      </c>
      <c r="B4" s="3">
        <v>1800</v>
      </c>
    </row>
    <row r="5" spans="1:2" x14ac:dyDescent="0.25">
      <c r="A5" s="16" t="s">
        <v>44</v>
      </c>
      <c r="B5" s="3">
        <v>990</v>
      </c>
    </row>
    <row r="6" spans="1:2" x14ac:dyDescent="0.25">
      <c r="A6" s="16" t="s">
        <v>6</v>
      </c>
      <c r="B6" s="3">
        <v>950</v>
      </c>
    </row>
    <row r="7" spans="1:2" x14ac:dyDescent="0.25">
      <c r="A7" s="16" t="s">
        <v>95</v>
      </c>
      <c r="B7" s="3">
        <v>1350</v>
      </c>
    </row>
    <row r="8" spans="1:2" x14ac:dyDescent="0.25">
      <c r="A8" s="16" t="s">
        <v>105</v>
      </c>
      <c r="B8" s="3">
        <v>980</v>
      </c>
    </row>
    <row r="9" spans="1:2" x14ac:dyDescent="0.25">
      <c r="A9" s="16" t="s">
        <v>194</v>
      </c>
      <c r="B9" s="3">
        <v>445</v>
      </c>
    </row>
    <row r="10" spans="1:2" x14ac:dyDescent="0.25">
      <c r="A10" s="16" t="s">
        <v>177</v>
      </c>
      <c r="B10" s="3">
        <v>2799</v>
      </c>
    </row>
    <row r="11" spans="1:2" x14ac:dyDescent="0.25">
      <c r="A11" s="16" t="s">
        <v>38</v>
      </c>
      <c r="B11" s="3">
        <v>1600</v>
      </c>
    </row>
    <row r="12" spans="1:2" x14ac:dyDescent="0.25">
      <c r="A12" s="16" t="s">
        <v>30</v>
      </c>
      <c r="B12" s="3">
        <v>2319</v>
      </c>
    </row>
    <row r="13" spans="1:2" x14ac:dyDescent="0.25">
      <c r="A13" s="16" t="s">
        <v>304</v>
      </c>
      <c r="B13" s="3">
        <v>198</v>
      </c>
    </row>
    <row r="14" spans="1:2" x14ac:dyDescent="0.25">
      <c r="A14" s="16" t="s">
        <v>251</v>
      </c>
      <c r="B14" s="3">
        <v>1666</v>
      </c>
    </row>
    <row r="15" spans="1:2" x14ac:dyDescent="0.25">
      <c r="A15" s="16" t="s">
        <v>26</v>
      </c>
      <c r="B15" s="3">
        <v>2999</v>
      </c>
    </row>
    <row r="16" spans="1:2" x14ac:dyDescent="0.25">
      <c r="A16" s="16" t="s">
        <v>301</v>
      </c>
      <c r="B16" s="3">
        <v>1875</v>
      </c>
    </row>
    <row r="17" spans="1:2" x14ac:dyDescent="0.25">
      <c r="A17" s="16" t="s">
        <v>278</v>
      </c>
      <c r="B17" s="3">
        <v>1200</v>
      </c>
    </row>
    <row r="18" spans="1:2" x14ac:dyDescent="0.25">
      <c r="A18" s="16" t="s">
        <v>151</v>
      </c>
      <c r="B18" s="3">
        <v>1200</v>
      </c>
    </row>
    <row r="19" spans="1:2" x14ac:dyDescent="0.25">
      <c r="A19" s="16" t="s">
        <v>232</v>
      </c>
      <c r="B19" s="3">
        <v>790</v>
      </c>
    </row>
    <row r="20" spans="1:2" x14ac:dyDescent="0.25">
      <c r="A20" s="16" t="s">
        <v>212</v>
      </c>
      <c r="B20" s="3">
        <v>3750</v>
      </c>
    </row>
    <row r="21" spans="1:2" x14ac:dyDescent="0.25">
      <c r="A21" s="16" t="s">
        <v>209</v>
      </c>
      <c r="B21" s="3">
        <v>1000</v>
      </c>
    </row>
    <row r="22" spans="1:2" x14ac:dyDescent="0.25">
      <c r="A22" s="16" t="s">
        <v>68</v>
      </c>
      <c r="B22" s="3">
        <v>998</v>
      </c>
    </row>
    <row r="23" spans="1:2" x14ac:dyDescent="0.25">
      <c r="A23" s="16" t="s">
        <v>235</v>
      </c>
      <c r="B23" s="3">
        <v>690</v>
      </c>
    </row>
    <row r="24" spans="1:2" x14ac:dyDescent="0.25">
      <c r="A24" s="16" t="s">
        <v>71</v>
      </c>
      <c r="B24" s="3">
        <v>38</v>
      </c>
    </row>
    <row r="25" spans="1:2" x14ac:dyDescent="0.25">
      <c r="A25" s="16" t="s">
        <v>284</v>
      </c>
      <c r="B25" s="3">
        <v>248</v>
      </c>
    </row>
    <row r="26" spans="1:2" x14ac:dyDescent="0.25">
      <c r="A26" s="16" t="s">
        <v>47</v>
      </c>
      <c r="B26" s="3">
        <v>552</v>
      </c>
    </row>
    <row r="27" spans="1:2" x14ac:dyDescent="0.25">
      <c r="A27" s="16" t="s">
        <v>131</v>
      </c>
      <c r="B27" s="3">
        <v>475</v>
      </c>
    </row>
    <row r="28" spans="1:2" x14ac:dyDescent="0.25">
      <c r="A28" s="16" t="s">
        <v>75</v>
      </c>
      <c r="B28" s="3">
        <v>1860</v>
      </c>
    </row>
    <row r="29" spans="1:2" x14ac:dyDescent="0.25">
      <c r="A29" s="16" t="s">
        <v>182</v>
      </c>
      <c r="B29" s="3">
        <v>2170</v>
      </c>
    </row>
    <row r="30" spans="1:2" x14ac:dyDescent="0.25">
      <c r="A30" s="16" t="s">
        <v>97</v>
      </c>
      <c r="B30" s="3">
        <v>1758</v>
      </c>
    </row>
    <row r="31" spans="1:2" x14ac:dyDescent="0.25">
      <c r="A31" s="16" t="s">
        <v>114</v>
      </c>
      <c r="B31" s="3">
        <v>1980</v>
      </c>
    </row>
    <row r="32" spans="1:2" x14ac:dyDescent="0.25">
      <c r="A32" s="16" t="s">
        <v>111</v>
      </c>
      <c r="B32" s="3">
        <v>1940</v>
      </c>
    </row>
    <row r="33" spans="1:2" x14ac:dyDescent="0.25">
      <c r="A33" s="16" t="s">
        <v>248</v>
      </c>
      <c r="B33" s="3">
        <v>1460</v>
      </c>
    </row>
    <row r="34" spans="1:2" x14ac:dyDescent="0.25">
      <c r="A34" s="16" t="s">
        <v>190</v>
      </c>
      <c r="B34" s="3">
        <v>2115</v>
      </c>
    </row>
    <row r="35" spans="1:2" x14ac:dyDescent="0.25">
      <c r="A35" s="16" t="s">
        <v>316</v>
      </c>
      <c r="B35" s="3">
        <v>199</v>
      </c>
    </row>
    <row r="36" spans="1:2" x14ac:dyDescent="0.25">
      <c r="A36" s="16" t="s">
        <v>277</v>
      </c>
      <c r="B36" s="3">
        <v>899</v>
      </c>
    </row>
    <row r="37" spans="1:2" x14ac:dyDescent="0.25">
      <c r="A37" s="16" t="s">
        <v>145</v>
      </c>
      <c r="B37" s="3">
        <v>1190</v>
      </c>
    </row>
    <row r="38" spans="1:2" x14ac:dyDescent="0.25">
      <c r="A38" s="16" t="s">
        <v>240</v>
      </c>
      <c r="B38" s="3">
        <v>230</v>
      </c>
    </row>
    <row r="39" spans="1:2" x14ac:dyDescent="0.25">
      <c r="A39" s="16" t="s">
        <v>227</v>
      </c>
      <c r="B39" s="3">
        <v>968</v>
      </c>
    </row>
    <row r="40" spans="1:2" x14ac:dyDescent="0.25">
      <c r="A40" s="16" t="s">
        <v>292</v>
      </c>
      <c r="B40" s="3">
        <v>1080</v>
      </c>
    </row>
    <row r="41" spans="1:2" x14ac:dyDescent="0.25">
      <c r="A41" s="16" t="s">
        <v>298</v>
      </c>
      <c r="B41" s="3">
        <v>1420</v>
      </c>
    </row>
    <row r="42" spans="1:2" x14ac:dyDescent="0.25">
      <c r="A42" s="16" t="s">
        <v>215</v>
      </c>
      <c r="B42" s="3">
        <v>382</v>
      </c>
    </row>
    <row r="43" spans="1:2" x14ac:dyDescent="0.25">
      <c r="A43" s="16" t="s">
        <v>175</v>
      </c>
      <c r="B43" s="3">
        <v>799</v>
      </c>
    </row>
    <row r="44" spans="1:2" x14ac:dyDescent="0.25">
      <c r="A44" s="16" t="s">
        <v>56</v>
      </c>
      <c r="B44" s="3">
        <v>332</v>
      </c>
    </row>
    <row r="45" spans="1:2" x14ac:dyDescent="0.25">
      <c r="A45" s="16" t="s">
        <v>206</v>
      </c>
      <c r="B45" s="3">
        <v>990</v>
      </c>
    </row>
    <row r="46" spans="1:2" x14ac:dyDescent="0.25">
      <c r="A46" s="16" t="s">
        <v>289</v>
      </c>
      <c r="B46" s="3">
        <v>525</v>
      </c>
    </row>
    <row r="47" spans="1:2" x14ac:dyDescent="0.25">
      <c r="A47" s="16" t="s">
        <v>137</v>
      </c>
      <c r="B47" s="3">
        <v>610</v>
      </c>
    </row>
    <row r="48" spans="1:2" x14ac:dyDescent="0.25">
      <c r="A48" s="16" t="s">
        <v>245</v>
      </c>
      <c r="B48" s="3">
        <v>979</v>
      </c>
    </row>
    <row r="49" spans="1:2" x14ac:dyDescent="0.25">
      <c r="A49" s="16" t="s">
        <v>320</v>
      </c>
      <c r="B49" s="3">
        <v>169</v>
      </c>
    </row>
    <row r="50" spans="1:2" x14ac:dyDescent="0.25">
      <c r="A50" s="16" t="s">
        <v>157</v>
      </c>
      <c r="B50" s="3">
        <v>299</v>
      </c>
    </row>
    <row r="51" spans="1:2" x14ac:dyDescent="0.25">
      <c r="A51" s="16" t="s">
        <v>148</v>
      </c>
      <c r="B51" s="3">
        <v>671</v>
      </c>
    </row>
    <row r="52" spans="1:2" x14ac:dyDescent="0.25">
      <c r="A52" s="16" t="s">
        <v>258</v>
      </c>
      <c r="B52" s="3">
        <v>274</v>
      </c>
    </row>
    <row r="53" spans="1:2" x14ac:dyDescent="0.25">
      <c r="A53" s="16" t="s">
        <v>310</v>
      </c>
      <c r="B53" s="3">
        <v>1190</v>
      </c>
    </row>
    <row r="54" spans="1:2" x14ac:dyDescent="0.25">
      <c r="A54" s="16" t="s">
        <v>143</v>
      </c>
      <c r="B54" s="3">
        <v>999</v>
      </c>
    </row>
    <row r="55" spans="1:2" x14ac:dyDescent="0.25">
      <c r="A55" s="16" t="s">
        <v>173</v>
      </c>
      <c r="B55" s="3">
        <v>699</v>
      </c>
    </row>
    <row r="56" spans="1:2" x14ac:dyDescent="0.25">
      <c r="A56" s="16" t="s">
        <v>120</v>
      </c>
      <c r="B56" s="3">
        <v>171</v>
      </c>
    </row>
    <row r="57" spans="1:2" x14ac:dyDescent="0.25">
      <c r="A57" s="16" t="s">
        <v>154</v>
      </c>
      <c r="B57" s="3">
        <v>199</v>
      </c>
    </row>
    <row r="58" spans="1:2" x14ac:dyDescent="0.25">
      <c r="A58" s="16" t="s">
        <v>237</v>
      </c>
      <c r="B58" s="3">
        <v>1732</v>
      </c>
    </row>
    <row r="59" spans="1:2" x14ac:dyDescent="0.25">
      <c r="A59" s="16" t="s">
        <v>168</v>
      </c>
      <c r="B59" s="3">
        <v>799</v>
      </c>
    </row>
    <row r="60" spans="1:2" x14ac:dyDescent="0.25">
      <c r="A60" s="16" t="s">
        <v>33</v>
      </c>
      <c r="B60" s="3">
        <v>988</v>
      </c>
    </row>
    <row r="61" spans="1:2" x14ac:dyDescent="0.25">
      <c r="A61" s="16" t="s">
        <v>117</v>
      </c>
      <c r="B61" s="3">
        <v>1620</v>
      </c>
    </row>
    <row r="62" spans="1:2" x14ac:dyDescent="0.25">
      <c r="A62" s="16" t="s">
        <v>229</v>
      </c>
      <c r="B62" s="3">
        <v>1570</v>
      </c>
    </row>
    <row r="63" spans="1:2" x14ac:dyDescent="0.25">
      <c r="A63" s="16" t="s">
        <v>89</v>
      </c>
      <c r="B63" s="3">
        <v>420</v>
      </c>
    </row>
    <row r="64" spans="1:2" x14ac:dyDescent="0.25">
      <c r="A64" s="16" t="s">
        <v>102</v>
      </c>
      <c r="B64" s="3">
        <v>185</v>
      </c>
    </row>
    <row r="65" spans="1:2" x14ac:dyDescent="0.25">
      <c r="A65" s="16" t="s">
        <v>81</v>
      </c>
      <c r="B65" s="3">
        <v>1650</v>
      </c>
    </row>
    <row r="66" spans="1:2" x14ac:dyDescent="0.25">
      <c r="A66" s="16" t="s">
        <v>42</v>
      </c>
      <c r="B66" s="3">
        <v>799</v>
      </c>
    </row>
    <row r="67" spans="1:2" x14ac:dyDescent="0.25">
      <c r="A67" s="16" t="s">
        <v>253</v>
      </c>
      <c r="B67" s="3">
        <v>330</v>
      </c>
    </row>
    <row r="68" spans="1:2" x14ac:dyDescent="0.25">
      <c r="A68" s="16" t="s">
        <v>198</v>
      </c>
      <c r="B68" s="3">
        <v>325</v>
      </c>
    </row>
    <row r="69" spans="1:2" x14ac:dyDescent="0.25">
      <c r="A69" s="16" t="s">
        <v>295</v>
      </c>
      <c r="B69" s="3">
        <v>3640</v>
      </c>
    </row>
    <row r="70" spans="1:2" x14ac:dyDescent="0.25">
      <c r="A70" s="16" t="s">
        <v>218</v>
      </c>
      <c r="B70" s="3">
        <v>2300</v>
      </c>
    </row>
    <row r="71" spans="1:2" x14ac:dyDescent="0.25">
      <c r="A71" s="16" t="s">
        <v>85</v>
      </c>
      <c r="B71" s="3">
        <v>2048</v>
      </c>
    </row>
    <row r="72" spans="1:2" x14ac:dyDescent="0.25">
      <c r="A72" s="16" t="s">
        <v>63</v>
      </c>
      <c r="B72" s="3">
        <v>2025</v>
      </c>
    </row>
    <row r="73" spans="1:2" x14ac:dyDescent="0.25">
      <c r="A73" s="16" t="s">
        <v>50</v>
      </c>
      <c r="B73" s="3">
        <v>501</v>
      </c>
    </row>
    <row r="74" spans="1:2" x14ac:dyDescent="0.25">
      <c r="A74" s="16" t="s">
        <v>35</v>
      </c>
      <c r="B74" s="3">
        <v>1274</v>
      </c>
    </row>
    <row r="75" spans="1:2" x14ac:dyDescent="0.25">
      <c r="A75" s="16" t="s">
        <v>128</v>
      </c>
      <c r="B75" s="3">
        <v>2750</v>
      </c>
    </row>
    <row r="76" spans="1:2" x14ac:dyDescent="0.25">
      <c r="A76" s="16" t="s">
        <v>108</v>
      </c>
      <c r="B76" s="3">
        <v>1820</v>
      </c>
    </row>
    <row r="77" spans="1:2" x14ac:dyDescent="0.25">
      <c r="A77" s="16" t="s">
        <v>78</v>
      </c>
      <c r="B77" s="3">
        <v>880</v>
      </c>
    </row>
    <row r="78" spans="1:2" x14ac:dyDescent="0.25">
      <c r="A78" s="16" t="s">
        <v>307</v>
      </c>
      <c r="B78" s="3">
        <v>1150</v>
      </c>
    </row>
    <row r="79" spans="1:2" x14ac:dyDescent="0.25">
      <c r="A79" s="16" t="s">
        <v>66</v>
      </c>
      <c r="B79" s="3">
        <v>2999</v>
      </c>
    </row>
    <row r="80" spans="1:2" x14ac:dyDescent="0.25">
      <c r="A80" s="16" t="s">
        <v>243</v>
      </c>
      <c r="B80" s="3">
        <v>1189</v>
      </c>
    </row>
    <row r="81" spans="1:2" x14ac:dyDescent="0.25">
      <c r="A81" s="16" t="s">
        <v>10</v>
      </c>
      <c r="B81" s="3">
        <v>527</v>
      </c>
    </row>
    <row r="82" spans="1:2" x14ac:dyDescent="0.25">
      <c r="A82" s="16" t="s">
        <v>287</v>
      </c>
      <c r="B82" s="3">
        <v>3546</v>
      </c>
    </row>
    <row r="83" spans="1:2" x14ac:dyDescent="0.25">
      <c r="A83" s="16" t="s">
        <v>134</v>
      </c>
      <c r="B83" s="3">
        <v>238</v>
      </c>
    </row>
    <row r="84" spans="1:2" x14ac:dyDescent="0.25">
      <c r="A84" s="16" t="s">
        <v>53</v>
      </c>
      <c r="B84" s="3">
        <v>1680</v>
      </c>
    </row>
    <row r="85" spans="1:2" x14ac:dyDescent="0.25">
      <c r="A85" s="16" t="s">
        <v>266</v>
      </c>
      <c r="B85" s="3">
        <v>630</v>
      </c>
    </row>
    <row r="86" spans="1:2" x14ac:dyDescent="0.25">
      <c r="A86" s="16" t="s">
        <v>99</v>
      </c>
      <c r="B86" s="3">
        <v>2200</v>
      </c>
    </row>
    <row r="87" spans="1:2" x14ac:dyDescent="0.25">
      <c r="A87" s="16" t="s">
        <v>165</v>
      </c>
      <c r="B87" s="3">
        <v>1459</v>
      </c>
    </row>
    <row r="88" spans="1:2" x14ac:dyDescent="0.25">
      <c r="A88" s="16" t="s">
        <v>186</v>
      </c>
      <c r="B88" s="3">
        <v>458</v>
      </c>
    </row>
    <row r="89" spans="1:2" x14ac:dyDescent="0.25">
      <c r="A89" s="16" t="s">
        <v>256</v>
      </c>
      <c r="B89" s="3">
        <v>1466</v>
      </c>
    </row>
    <row r="90" spans="1:2" x14ac:dyDescent="0.25">
      <c r="A90" s="16" t="s">
        <v>261</v>
      </c>
      <c r="B90" s="3">
        <v>799</v>
      </c>
    </row>
    <row r="91" spans="1:2" x14ac:dyDescent="0.25">
      <c r="A91" s="16" t="s">
        <v>60</v>
      </c>
      <c r="B91" s="3">
        <v>195</v>
      </c>
    </row>
    <row r="92" spans="1:2" x14ac:dyDescent="0.25">
      <c r="A92" s="16" t="s">
        <v>160</v>
      </c>
      <c r="B92" s="3">
        <v>1660</v>
      </c>
    </row>
    <row r="93" spans="1:2" x14ac:dyDescent="0.25">
      <c r="A93" s="16" t="s">
        <v>163</v>
      </c>
      <c r="B93" s="3">
        <v>299</v>
      </c>
    </row>
    <row r="94" spans="1:2" x14ac:dyDescent="0.25">
      <c r="A94" s="16" t="s">
        <v>22</v>
      </c>
      <c r="B94" s="3">
        <v>1740</v>
      </c>
    </row>
    <row r="95" spans="1:2" x14ac:dyDescent="0.25">
      <c r="A95" s="16" t="s">
        <v>14</v>
      </c>
      <c r="B95" s="3">
        <v>2199</v>
      </c>
    </row>
    <row r="96" spans="1:2" x14ac:dyDescent="0.25">
      <c r="A96" s="16" t="s">
        <v>282</v>
      </c>
      <c r="B96" s="3">
        <v>1462</v>
      </c>
    </row>
    <row r="97" spans="1:2" x14ac:dyDescent="0.25">
      <c r="A97" s="16" t="s">
        <v>92</v>
      </c>
      <c r="B97" s="3">
        <v>2880</v>
      </c>
    </row>
    <row r="98" spans="1:2" x14ac:dyDescent="0.25">
      <c r="A98" s="16" t="s">
        <v>272</v>
      </c>
      <c r="B98" s="3">
        <v>1300</v>
      </c>
    </row>
    <row r="99" spans="1:2" x14ac:dyDescent="0.25">
      <c r="A99" s="16" t="s">
        <v>122</v>
      </c>
      <c r="B99" s="3">
        <v>389</v>
      </c>
    </row>
    <row r="100" spans="1:2" x14ac:dyDescent="0.25">
      <c r="A100" s="16" t="s">
        <v>274</v>
      </c>
      <c r="B100" s="3">
        <v>105</v>
      </c>
    </row>
    <row r="101" spans="1:2" x14ac:dyDescent="0.25">
      <c r="A101" s="16" t="s">
        <v>140</v>
      </c>
      <c r="B101" s="3">
        <v>2132</v>
      </c>
    </row>
    <row r="102" spans="1:2" x14ac:dyDescent="0.25">
      <c r="A102" s="16" t="s">
        <v>312</v>
      </c>
      <c r="B102" s="3">
        <v>1658</v>
      </c>
    </row>
    <row r="103" spans="1:2" x14ac:dyDescent="0.25">
      <c r="A103" s="16" t="s">
        <v>170</v>
      </c>
      <c r="B103" s="3">
        <v>499</v>
      </c>
    </row>
    <row r="104" spans="1:2" x14ac:dyDescent="0.25">
      <c r="A104" s="16" t="s">
        <v>314</v>
      </c>
      <c r="B104" s="3">
        <v>1768</v>
      </c>
    </row>
    <row r="105" spans="1:2" x14ac:dyDescent="0.25">
      <c r="A105" s="16" t="s">
        <v>202</v>
      </c>
      <c r="B105" s="3">
        <v>1220</v>
      </c>
    </row>
    <row r="106" spans="1:2" x14ac:dyDescent="0.25">
      <c r="A106" s="16" t="s">
        <v>269</v>
      </c>
      <c r="B106" s="3">
        <v>850</v>
      </c>
    </row>
    <row r="107" spans="1:2" x14ac:dyDescent="0.25">
      <c r="A107" s="16" t="s">
        <v>280</v>
      </c>
      <c r="B107" s="3">
        <v>1526</v>
      </c>
    </row>
    <row r="108" spans="1:2" x14ac:dyDescent="0.25">
      <c r="A108" s="16" t="s">
        <v>318</v>
      </c>
      <c r="B108" s="3">
        <v>450</v>
      </c>
    </row>
    <row r="109" spans="1:2" x14ac:dyDescent="0.25">
      <c r="A109" s="16" t="s">
        <v>264</v>
      </c>
      <c r="B109" s="3">
        <v>1468</v>
      </c>
    </row>
    <row r="110" spans="1:2" x14ac:dyDescent="0.25">
      <c r="A110" s="16" t="s">
        <v>221</v>
      </c>
      <c r="B110" s="3">
        <v>345</v>
      </c>
    </row>
    <row r="111" spans="1:2" x14ac:dyDescent="0.25">
      <c r="A111" s="16" t="s">
        <v>18</v>
      </c>
      <c r="B111" s="3">
        <v>1580</v>
      </c>
    </row>
    <row r="112" spans="1:2" x14ac:dyDescent="0.25">
      <c r="A112" s="16" t="s">
        <v>224</v>
      </c>
      <c r="B112" s="3">
        <v>509</v>
      </c>
    </row>
    <row r="113" spans="1:2" x14ac:dyDescent="0.25">
      <c r="A113" s="16" t="s">
        <v>337</v>
      </c>
      <c r="B113" s="3">
        <v>3750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AA7E45-89EE-4607-8456-60993D95D5E4}">
  <dimension ref="A3:C7"/>
  <sheetViews>
    <sheetView workbookViewId="0">
      <selection activeCell="C21" sqref="C21"/>
    </sheetView>
  </sheetViews>
  <sheetFormatPr defaultRowHeight="15" x14ac:dyDescent="0.25"/>
  <cols>
    <col min="1" max="1" width="16.5703125" bestFit="1" customWidth="1"/>
    <col min="2" max="2" width="22.42578125" bestFit="1" customWidth="1"/>
    <col min="3" max="3" width="16.7109375" bestFit="1" customWidth="1"/>
  </cols>
  <sheetData>
    <row r="3" spans="1:3" x14ac:dyDescent="0.25">
      <c r="A3" s="15" t="s">
        <v>336</v>
      </c>
      <c r="B3" t="s">
        <v>346</v>
      </c>
      <c r="C3" t="s">
        <v>347</v>
      </c>
    </row>
    <row r="4" spans="1:3" x14ac:dyDescent="0.25">
      <c r="A4" s="16" t="s">
        <v>339</v>
      </c>
      <c r="B4" s="4">
        <v>0.48317809166416531</v>
      </c>
      <c r="C4" s="21">
        <v>3.6133333333333324</v>
      </c>
    </row>
    <row r="5" spans="1:3" x14ac:dyDescent="0.25">
      <c r="A5" s="16" t="s">
        <v>368</v>
      </c>
      <c r="B5" s="4">
        <v>7.227592305560436E-2</v>
      </c>
      <c r="C5" s="21">
        <v>3.7249999999999996</v>
      </c>
    </row>
    <row r="6" spans="1:3" x14ac:dyDescent="0.25">
      <c r="A6" s="16" t="s">
        <v>369</v>
      </c>
      <c r="B6" s="4">
        <v>0.30818155449324991</v>
      </c>
      <c r="C6" s="21">
        <v>4.2782608695652184</v>
      </c>
    </row>
    <row r="7" spans="1:3" x14ac:dyDescent="0.25">
      <c r="A7" s="16" t="s">
        <v>337</v>
      </c>
      <c r="B7" s="4">
        <v>0.367141232517528</v>
      </c>
      <c r="C7" s="21">
        <v>3.8894736842105253</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6E5266-2D46-4F22-B9F6-9F2BA5750096}">
  <dimension ref="A3:B8"/>
  <sheetViews>
    <sheetView workbookViewId="0">
      <selection activeCell="G33" sqref="G33"/>
    </sheetView>
  </sheetViews>
  <sheetFormatPr defaultRowHeight="15" x14ac:dyDescent="0.25"/>
  <cols>
    <col min="1" max="1" width="13.42578125" bestFit="1" customWidth="1"/>
    <col min="2" max="2" width="16.42578125" bestFit="1" customWidth="1"/>
  </cols>
  <sheetData>
    <row r="3" spans="1:2" x14ac:dyDescent="0.25">
      <c r="A3" s="15" t="s">
        <v>336</v>
      </c>
      <c r="B3" t="s">
        <v>350</v>
      </c>
    </row>
    <row r="4" spans="1:2" x14ac:dyDescent="0.25">
      <c r="A4" s="16" t="s">
        <v>366</v>
      </c>
      <c r="B4" s="21">
        <v>22</v>
      </c>
    </row>
    <row r="5" spans="1:2" x14ac:dyDescent="0.25">
      <c r="A5" s="16" t="s">
        <v>367</v>
      </c>
      <c r="B5" s="21">
        <v>23</v>
      </c>
    </row>
    <row r="6" spans="1:2" x14ac:dyDescent="0.25">
      <c r="A6" s="16" t="s">
        <v>325</v>
      </c>
      <c r="B6" s="21">
        <v>55</v>
      </c>
    </row>
    <row r="7" spans="1:2" x14ac:dyDescent="0.25">
      <c r="A7" s="16" t="s">
        <v>349</v>
      </c>
      <c r="B7" s="21">
        <v>12</v>
      </c>
    </row>
    <row r="8" spans="1:2" x14ac:dyDescent="0.25">
      <c r="A8" s="16" t="s">
        <v>337</v>
      </c>
      <c r="B8" s="21">
        <v>112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Original</vt:lpstr>
      <vt:lpstr>Missing values</vt:lpstr>
      <vt:lpstr>Duplicates</vt:lpstr>
      <vt:lpstr>Excel_jumia- class</vt:lpstr>
      <vt:lpstr>3c. Prod&amp;Rat</vt:lpstr>
      <vt:lpstr>3d. DiscCat&amp;Rat&amp;Rev</vt:lpstr>
      <vt:lpstr>Dashboard Pivots</vt:lpstr>
      <vt:lpstr>Dashboard</vt:lpstr>
      <vt:lpstr>Clean-Enrich</vt:lpstr>
      <vt:lpstr>3b. Prod&amp;Rev</vt:lpstr>
      <vt:lpstr>3a. Prod&amp;Disc</vt:lpstr>
      <vt:lpstr>2b&amp; d. Rat&amp;Rev</vt:lpstr>
      <vt:lpstr>2a&amp;c. Disc&amp;rev</vt:lpstr>
      <vt:lpstr>1a. Av-cp,op,dp,ra</vt:lpstr>
      <vt:lpstr>1b. Prct-Ex,Ch</vt:lpstr>
      <vt:lpstr>1c. Av-DC,ra,dp</vt:lpstr>
      <vt:lpstr>1d. Count-RC,prct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Sharon Mwangi</cp:lastModifiedBy>
  <dcterms:created xsi:type="dcterms:W3CDTF">2026-01-26T09:37:20Z</dcterms:created>
  <dcterms:modified xsi:type="dcterms:W3CDTF">2026-02-08T19:57:56Z</dcterms:modified>
</cp:coreProperties>
</file>